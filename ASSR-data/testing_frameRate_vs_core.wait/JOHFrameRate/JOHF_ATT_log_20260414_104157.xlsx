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h\git\ECYM_ASSR\ASSR-data\testing_frameRate_vs_core.wait\JOHFrameRate\"/>
    </mc:Choice>
  </mc:AlternateContent>
  <xr:revisionPtr revIDLastSave="0" documentId="13_ncr:1_{9E447519-82A7-411A-809F-2DA8A6991A7E}" xr6:coauthVersionLast="47" xr6:coauthVersionMax="47" xr10:uidLastSave="{00000000-0000-0000-0000-000000000000}"/>
  <bookViews>
    <workbookView xWindow="-48" yWindow="0" windowWidth="11820" windowHeight="12828" xr2:uid="{049DE679-2F7A-4E1B-BCC9-30B12D6C8D96}"/>
  </bookViews>
  <sheets>
    <sheet name="JOHF_ATT_log_20260414_10415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L12" i="1"/>
  <c r="N12" i="1" s="1"/>
  <c r="O12" i="1" s="1"/>
  <c r="K13" i="1"/>
  <c r="L13" i="1"/>
  <c r="N13" i="1" s="1"/>
  <c r="O13" i="1" s="1"/>
  <c r="K14" i="1"/>
  <c r="L14" i="1"/>
  <c r="N14" i="1" s="1"/>
  <c r="O14" i="1" s="1"/>
  <c r="K15" i="1"/>
  <c r="L15" i="1"/>
  <c r="N15" i="1" s="1"/>
  <c r="O15" i="1" s="1"/>
  <c r="K16" i="1"/>
  <c r="L16" i="1"/>
  <c r="N16" i="1" s="1"/>
  <c r="O16" i="1" s="1"/>
  <c r="K17" i="1"/>
  <c r="L17" i="1"/>
  <c r="N17" i="1" s="1"/>
  <c r="O17" i="1" s="1"/>
  <c r="K18" i="1"/>
  <c r="L18" i="1"/>
  <c r="K19" i="1"/>
  <c r="L19" i="1"/>
  <c r="N19" i="1" s="1"/>
  <c r="O19" i="1" s="1"/>
  <c r="K20" i="1"/>
  <c r="L20" i="1"/>
  <c r="N20" i="1" s="1"/>
  <c r="O20" i="1" s="1"/>
  <c r="K21" i="1"/>
  <c r="L21" i="1"/>
  <c r="K22" i="1"/>
  <c r="N22" i="1" s="1"/>
  <c r="O22" i="1" s="1"/>
  <c r="L22" i="1"/>
  <c r="K23" i="1"/>
  <c r="N23" i="1" s="1"/>
  <c r="O23" i="1" s="1"/>
  <c r="L23" i="1"/>
  <c r="K24" i="1"/>
  <c r="L24" i="1"/>
  <c r="K25" i="1"/>
  <c r="L25" i="1"/>
  <c r="N25" i="1" s="1"/>
  <c r="O25" i="1" s="1"/>
  <c r="K26" i="1"/>
  <c r="L26" i="1"/>
  <c r="K27" i="1"/>
  <c r="L27" i="1"/>
  <c r="N27" i="1" s="1"/>
  <c r="O27" i="1" s="1"/>
  <c r="K28" i="1"/>
  <c r="L28" i="1"/>
  <c r="K29" i="1"/>
  <c r="L29" i="1"/>
  <c r="N29" i="1" s="1"/>
  <c r="O29" i="1" s="1"/>
  <c r="K30" i="1"/>
  <c r="N30" i="1" s="1"/>
  <c r="O30" i="1" s="1"/>
  <c r="L30" i="1"/>
  <c r="K31" i="1"/>
  <c r="N31" i="1" s="1"/>
  <c r="O31" i="1" s="1"/>
  <c r="L31" i="1"/>
  <c r="K32" i="1"/>
  <c r="L32" i="1"/>
  <c r="N32" i="1"/>
  <c r="O32" i="1" s="1"/>
  <c r="K33" i="1"/>
  <c r="L33" i="1"/>
  <c r="N33" i="1" s="1"/>
  <c r="O33" i="1" s="1"/>
  <c r="K34" i="1"/>
  <c r="L34" i="1"/>
  <c r="N34" i="1" s="1"/>
  <c r="O34" i="1" s="1"/>
  <c r="K35" i="1"/>
  <c r="L35" i="1"/>
  <c r="K36" i="1"/>
  <c r="L36" i="1"/>
  <c r="N36" i="1" s="1"/>
  <c r="O36" i="1" s="1"/>
  <c r="K37" i="1"/>
  <c r="L37" i="1"/>
  <c r="N37" i="1" s="1"/>
  <c r="O37" i="1" s="1"/>
  <c r="K38" i="1"/>
  <c r="L38" i="1"/>
  <c r="K39" i="1"/>
  <c r="L39" i="1"/>
  <c r="N39" i="1" s="1"/>
  <c r="O39" i="1" s="1"/>
  <c r="K40" i="1"/>
  <c r="N40" i="1" s="1"/>
  <c r="O40" i="1" s="1"/>
  <c r="L40" i="1"/>
  <c r="K41" i="1"/>
  <c r="L41" i="1"/>
  <c r="N41" i="1" s="1"/>
  <c r="O41" i="1" s="1"/>
  <c r="K42" i="1"/>
  <c r="L42" i="1"/>
  <c r="N42" i="1"/>
  <c r="O42" i="1" s="1"/>
  <c r="K43" i="1"/>
  <c r="L43" i="1"/>
  <c r="K44" i="1"/>
  <c r="N44" i="1" s="1"/>
  <c r="O44" i="1" s="1"/>
  <c r="L44" i="1"/>
  <c r="K45" i="1"/>
  <c r="L45" i="1"/>
  <c r="N45" i="1" s="1"/>
  <c r="O45" i="1" s="1"/>
  <c r="K46" i="1"/>
  <c r="N46" i="1" s="1"/>
  <c r="O46" i="1" s="1"/>
  <c r="L46" i="1"/>
  <c r="K47" i="1"/>
  <c r="L47" i="1"/>
  <c r="N47" i="1"/>
  <c r="O47" i="1" s="1"/>
  <c r="K48" i="1"/>
  <c r="L48" i="1"/>
  <c r="N48" i="1" s="1"/>
  <c r="O48" i="1" s="1"/>
  <c r="K49" i="1"/>
  <c r="L49" i="1"/>
  <c r="N49" i="1" s="1"/>
  <c r="O49" i="1" s="1"/>
  <c r="K50" i="1"/>
  <c r="N50" i="1" s="1"/>
  <c r="O50" i="1" s="1"/>
  <c r="L50" i="1"/>
  <c r="K51" i="1"/>
  <c r="L51" i="1"/>
  <c r="N51" i="1" s="1"/>
  <c r="O51" i="1" s="1"/>
  <c r="K52" i="1"/>
  <c r="N52" i="1" s="1"/>
  <c r="O52" i="1" s="1"/>
  <c r="L52" i="1"/>
  <c r="K53" i="1"/>
  <c r="L53" i="1"/>
  <c r="N53" i="1"/>
  <c r="O53" i="1" s="1"/>
  <c r="K54" i="1"/>
  <c r="N54" i="1" s="1"/>
  <c r="O54" i="1" s="1"/>
  <c r="L54" i="1"/>
  <c r="K55" i="1"/>
  <c r="L55" i="1"/>
  <c r="N55" i="1"/>
  <c r="O55" i="1" s="1"/>
  <c r="K56" i="1"/>
  <c r="L56" i="1"/>
  <c r="K57" i="1"/>
  <c r="L57" i="1"/>
  <c r="N57" i="1" s="1"/>
  <c r="O57" i="1" s="1"/>
  <c r="K58" i="1"/>
  <c r="L58" i="1"/>
  <c r="N58" i="1"/>
  <c r="O58" i="1" s="1"/>
  <c r="K59" i="1"/>
  <c r="L59" i="1"/>
  <c r="N59" i="1" s="1"/>
  <c r="O59" i="1" s="1"/>
  <c r="K60" i="1"/>
  <c r="L60" i="1"/>
  <c r="N60" i="1"/>
  <c r="O60" i="1" s="1"/>
  <c r="K61" i="1"/>
  <c r="L61" i="1"/>
  <c r="K62" i="1"/>
  <c r="L62" i="1"/>
  <c r="K63" i="1"/>
  <c r="L63" i="1"/>
  <c r="N63" i="1" s="1"/>
  <c r="O63" i="1" s="1"/>
  <c r="K64" i="1"/>
  <c r="L64" i="1"/>
  <c r="N64" i="1"/>
  <c r="O64" i="1" s="1"/>
  <c r="K65" i="1"/>
  <c r="N65" i="1" s="1"/>
  <c r="O65" i="1" s="1"/>
  <c r="L65" i="1"/>
  <c r="K66" i="1"/>
  <c r="L66" i="1"/>
  <c r="N66" i="1"/>
  <c r="O66" i="1" s="1"/>
  <c r="K67" i="1"/>
  <c r="L67" i="1"/>
  <c r="K68" i="1"/>
  <c r="L68" i="1"/>
  <c r="K69" i="1"/>
  <c r="L69" i="1"/>
  <c r="N69" i="1" s="1"/>
  <c r="O69" i="1" s="1"/>
  <c r="K70" i="1"/>
  <c r="L70" i="1"/>
  <c r="K71" i="1"/>
  <c r="L71" i="1"/>
  <c r="N71" i="1" s="1"/>
  <c r="O71" i="1" s="1"/>
  <c r="K72" i="1"/>
  <c r="N72" i="1" s="1"/>
  <c r="O72" i="1" s="1"/>
  <c r="L72" i="1"/>
  <c r="K73" i="1"/>
  <c r="L73" i="1"/>
  <c r="N73" i="1" s="1"/>
  <c r="O73" i="1" s="1"/>
  <c r="K74" i="1"/>
  <c r="L74" i="1"/>
  <c r="N74" i="1"/>
  <c r="O74" i="1" s="1"/>
  <c r="K75" i="1"/>
  <c r="L75" i="1"/>
  <c r="K76" i="1"/>
  <c r="N76" i="1" s="1"/>
  <c r="O76" i="1" s="1"/>
  <c r="L76" i="1"/>
  <c r="K77" i="1"/>
  <c r="L77" i="1"/>
  <c r="N77" i="1" s="1"/>
  <c r="O77" i="1" s="1"/>
  <c r="K78" i="1"/>
  <c r="N78" i="1" s="1"/>
  <c r="O78" i="1" s="1"/>
  <c r="L78" i="1"/>
  <c r="K79" i="1"/>
  <c r="N79" i="1" s="1"/>
  <c r="O79" i="1" s="1"/>
  <c r="L79" i="1"/>
  <c r="K80" i="1"/>
  <c r="L80" i="1"/>
  <c r="N80" i="1" s="1"/>
  <c r="O80" i="1" s="1"/>
  <c r="K81" i="1"/>
  <c r="L81" i="1"/>
  <c r="N81" i="1" s="1"/>
  <c r="O81" i="1" s="1"/>
  <c r="K82" i="1"/>
  <c r="N82" i="1" s="1"/>
  <c r="O82" i="1" s="1"/>
  <c r="L82" i="1"/>
  <c r="K83" i="1"/>
  <c r="L83" i="1"/>
  <c r="N83" i="1" s="1"/>
  <c r="O83" i="1" s="1"/>
  <c r="K84" i="1"/>
  <c r="N84" i="1" s="1"/>
  <c r="O84" i="1" s="1"/>
  <c r="L84" i="1"/>
  <c r="N8" i="1"/>
  <c r="O8" i="1" s="1"/>
  <c r="N11" i="1"/>
  <c r="O11" i="1" s="1"/>
  <c r="N3" i="1"/>
  <c r="O3" i="1" s="1"/>
  <c r="L11" i="1"/>
  <c r="L10" i="1"/>
  <c r="L9" i="1"/>
  <c r="L8" i="1"/>
  <c r="L7" i="1"/>
  <c r="L6" i="1"/>
  <c r="N6" i="1" s="1"/>
  <c r="O6" i="1" s="1"/>
  <c r="L5" i="1"/>
  <c r="N5" i="1" s="1"/>
  <c r="O5" i="1" s="1"/>
  <c r="L4" i="1"/>
  <c r="N4" i="1" s="1"/>
  <c r="O4" i="1" s="1"/>
  <c r="L3" i="1"/>
  <c r="K11" i="1"/>
  <c r="K10" i="1"/>
  <c r="N10" i="1" s="1"/>
  <c r="O10" i="1" s="1"/>
  <c r="K9" i="1"/>
  <c r="N9" i="1" s="1"/>
  <c r="O9" i="1" s="1"/>
  <c r="K8" i="1"/>
  <c r="K7" i="1"/>
  <c r="N7" i="1" s="1"/>
  <c r="O7" i="1" s="1"/>
  <c r="K6" i="1"/>
  <c r="K5" i="1"/>
  <c r="K4" i="1"/>
  <c r="K3" i="1"/>
  <c r="N75" i="1" l="1"/>
  <c r="O75" i="1" s="1"/>
  <c r="N56" i="1"/>
  <c r="O56" i="1" s="1"/>
  <c r="N43" i="1"/>
  <c r="O43" i="1" s="1"/>
  <c r="N62" i="1"/>
  <c r="O62" i="1" s="1"/>
  <c r="N68" i="1"/>
  <c r="O68" i="1" s="1"/>
  <c r="N67" i="1"/>
  <c r="O67" i="1" s="1"/>
  <c r="N61" i="1"/>
  <c r="O61" i="1" s="1"/>
  <c r="N35" i="1"/>
  <c r="O35" i="1" s="1"/>
  <c r="N21" i="1"/>
  <c r="O21" i="1" s="1"/>
  <c r="N28" i="1"/>
  <c r="O28" i="1" s="1"/>
  <c r="N26" i="1"/>
  <c r="O26" i="1" s="1"/>
  <c r="N18" i="1"/>
  <c r="O18" i="1" s="1"/>
  <c r="N70" i="1"/>
  <c r="O70" i="1" s="1"/>
  <c r="N38" i="1"/>
  <c r="O38" i="1" s="1"/>
  <c r="N24" i="1"/>
  <c r="O24" i="1" s="1"/>
</calcChain>
</file>

<file path=xl/sharedStrings.xml><?xml version="1.0" encoding="utf-8"?>
<sst xmlns="http://schemas.openxmlformats.org/spreadsheetml/2006/main" count="327" uniqueCount="19">
  <si>
    <t>trial_index</t>
  </si>
  <si>
    <t>arrow</t>
  </si>
  <si>
    <t>sound_onset_psy</t>
  </si>
  <si>
    <t>sound_onset_dev</t>
  </si>
  <si>
    <t>arrow_onset_psy</t>
  </si>
  <si>
    <t>arrow_onset_dev</t>
  </si>
  <si>
    <t>response_key</t>
  </si>
  <si>
    <t>rt_psy</t>
  </si>
  <si>
    <t>rt_dev</t>
  </si>
  <si>
    <t>none</t>
  </si>
  <si>
    <t>NaN</t>
  </si>
  <si>
    <t>right</t>
  </si>
  <si>
    <t>left</t>
  </si>
  <si>
    <t>red</t>
  </si>
  <si>
    <t>psy</t>
  </si>
  <si>
    <t>dev</t>
  </si>
  <si>
    <t>DEV - PSY</t>
  </si>
  <si>
    <t>sec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</si>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</sst>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6" fillId="0" borderId="0" xfId="0" applyFont="1"/>
    <xf numFmtId="164" fontId="16" fillId="0" borderId="0" xfId="0" applyNumberFormat="1" applyFont="1"/>
    <xf numFmtId="1" fontId="16" fillId="0" borderId="0" xfId="0" applyNumberFormat="1" applyFont="1"/>
    <xf numFmtId="164" fontId="18" fillId="0" borderId="0" xfId="0" applyNumberFormat="1" applyFont="1"/>
    <xf numFmtId="1" fontId="18" fillId="0" borderId="0" xfId="0" applyNumberFormat="1" applyFont="1"/>
    <xf numFmtId="164" fontId="19" fillId="0" borderId="0" xfId="0" applyNumberFormat="1" applyFont="1"/>
    <xf numFmtId="1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6976-1901-4684-866C-0B204F426BB3}">
  <dimension ref="A1:O84"/>
  <sheetViews>
    <sheetView tabSelected="1" topLeftCell="F1" workbookViewId="0">
      <selection activeCell="N5" sqref="N5"/>
    </sheetView>
  </sheetViews>
  <sheetFormatPr defaultRowHeight="14.4" x14ac:dyDescent="0.3"/>
  <cols>
    <col min="3" max="4" width="8.88671875" customWidth="1"/>
    <col min="11" max="12" width="10.5546875" bestFit="1" customWidth="1"/>
    <col min="14" max="14" width="10.109375" customWidth="1"/>
    <col min="15" max="15" width="9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14</v>
      </c>
      <c r="L1" t="s">
        <v>15</v>
      </c>
      <c r="N1" s="3" t="s">
        <v>16</v>
      </c>
      <c r="O1" s="3"/>
    </row>
    <row r="2" spans="1:15" x14ac:dyDescent="0.3">
      <c r="A2">
        <v>1</v>
      </c>
      <c r="B2" t="s">
        <v>9</v>
      </c>
      <c r="C2">
        <v>31.1936800999101</v>
      </c>
      <c r="D2">
        <v>64.897646100000003</v>
      </c>
      <c r="G2" t="s">
        <v>10</v>
      </c>
      <c r="H2" t="s">
        <v>10</v>
      </c>
      <c r="I2" t="s">
        <v>10</v>
      </c>
      <c r="N2" s="3" t="s">
        <v>17</v>
      </c>
      <c r="O2" s="3" t="s">
        <v>18</v>
      </c>
    </row>
    <row r="3" spans="1:15" x14ac:dyDescent="0.3">
      <c r="A3">
        <v>2</v>
      </c>
      <c r="B3" t="s">
        <v>9</v>
      </c>
      <c r="C3">
        <v>32.692573899868798</v>
      </c>
      <c r="D3">
        <v>66.398805100000004</v>
      </c>
      <c r="G3" t="s">
        <v>10</v>
      </c>
      <c r="H3" t="s">
        <v>10</v>
      </c>
      <c r="I3" t="s">
        <v>10</v>
      </c>
      <c r="K3" s="1">
        <f t="shared" ref="K3:K11" si="0">C3-C2</f>
        <v>1.4988937999586973</v>
      </c>
      <c r="L3" s="1">
        <f t="shared" ref="L3:L11" si="1">D3-D2</f>
        <v>1.5011590000000012</v>
      </c>
      <c r="M3" s="1"/>
      <c r="N3" s="1">
        <f>L3-K3</f>
        <v>2.2652000413039275E-3</v>
      </c>
      <c r="O3" s="2">
        <f>N3*100</f>
        <v>0.22652000413039275</v>
      </c>
    </row>
    <row r="4" spans="1:15" x14ac:dyDescent="0.3">
      <c r="A4">
        <v>3</v>
      </c>
      <c r="B4" t="s">
        <v>9</v>
      </c>
      <c r="C4">
        <v>34.194789199856999</v>
      </c>
      <c r="D4">
        <v>67.899903300000005</v>
      </c>
      <c r="G4" t="s">
        <v>10</v>
      </c>
      <c r="H4" t="s">
        <v>10</v>
      </c>
      <c r="I4" t="s">
        <v>10</v>
      </c>
      <c r="K4" s="1">
        <f t="shared" si="0"/>
        <v>1.502215299988201</v>
      </c>
      <c r="L4" s="1">
        <f t="shared" si="1"/>
        <v>1.5010982000000013</v>
      </c>
      <c r="M4" s="1"/>
      <c r="N4" s="1">
        <f t="shared" ref="N4:N12" si="2">L4-K4</f>
        <v>-1.1170999881997545E-3</v>
      </c>
      <c r="O4" s="2">
        <f t="shared" ref="O4:O67" si="3">N4*100</f>
        <v>-0.11170999881997545</v>
      </c>
    </row>
    <row r="5" spans="1:15" x14ac:dyDescent="0.3">
      <c r="A5">
        <v>4</v>
      </c>
      <c r="B5" t="s">
        <v>9</v>
      </c>
      <c r="C5">
        <v>35.696589999832199</v>
      </c>
      <c r="D5">
        <v>69.400722200000004</v>
      </c>
      <c r="G5" t="s">
        <v>10</v>
      </c>
      <c r="H5" t="s">
        <v>10</v>
      </c>
      <c r="I5" t="s">
        <v>10</v>
      </c>
      <c r="K5" s="1">
        <f t="shared" si="0"/>
        <v>1.5018007999752001</v>
      </c>
      <c r="L5" s="1">
        <f t="shared" si="1"/>
        <v>1.5008188999999987</v>
      </c>
      <c r="M5" s="1"/>
      <c r="N5" s="1">
        <f t="shared" si="2"/>
        <v>-9.818999752013724E-4</v>
      </c>
      <c r="O5" s="2">
        <f t="shared" si="3"/>
        <v>-9.818999752013724E-2</v>
      </c>
    </row>
    <row r="6" spans="1:15" x14ac:dyDescent="0.3">
      <c r="A6">
        <v>5</v>
      </c>
      <c r="B6" t="s">
        <v>9</v>
      </c>
      <c r="C6">
        <v>37.1973643000237</v>
      </c>
      <c r="D6">
        <v>70.900113899999994</v>
      </c>
      <c r="G6" t="s">
        <v>10</v>
      </c>
      <c r="H6" t="s">
        <v>10</v>
      </c>
      <c r="I6" t="s">
        <v>10</v>
      </c>
      <c r="K6" s="1">
        <f t="shared" si="0"/>
        <v>1.5007743001915017</v>
      </c>
      <c r="L6" s="1">
        <f t="shared" si="1"/>
        <v>1.4993916999999897</v>
      </c>
      <c r="M6" s="1"/>
      <c r="N6" s="1">
        <f t="shared" si="2"/>
        <v>-1.3826001915120401E-3</v>
      </c>
      <c r="O6" s="2">
        <f t="shared" si="3"/>
        <v>-0.13826001915120401</v>
      </c>
    </row>
    <row r="7" spans="1:15" x14ac:dyDescent="0.3">
      <c r="A7">
        <v>6</v>
      </c>
      <c r="B7" t="s">
        <v>11</v>
      </c>
      <c r="C7">
        <v>38.699011899996499</v>
      </c>
      <c r="D7">
        <v>72.403236500000006</v>
      </c>
      <c r="E7">
        <v>38.699011899996499</v>
      </c>
      <c r="F7">
        <v>72.403236500000006</v>
      </c>
      <c r="G7" t="b">
        <v>0</v>
      </c>
      <c r="H7" t="s">
        <v>10</v>
      </c>
      <c r="I7" t="s">
        <v>10</v>
      </c>
      <c r="K7" s="1">
        <f t="shared" si="0"/>
        <v>1.5016475999727987</v>
      </c>
      <c r="L7" s="1">
        <f t="shared" si="1"/>
        <v>1.5031226000000117</v>
      </c>
      <c r="M7" s="1"/>
      <c r="N7" s="1">
        <f t="shared" si="2"/>
        <v>1.4750000272130137E-3</v>
      </c>
      <c r="O7" s="2">
        <f t="shared" si="3"/>
        <v>0.14750000272130137</v>
      </c>
    </row>
    <row r="8" spans="1:15" x14ac:dyDescent="0.3">
      <c r="A8">
        <v>7</v>
      </c>
      <c r="B8" t="s">
        <v>9</v>
      </c>
      <c r="C8">
        <v>40.200197599828201</v>
      </c>
      <c r="D8">
        <v>73.901190499999998</v>
      </c>
      <c r="G8" t="s">
        <v>10</v>
      </c>
      <c r="H8" t="s">
        <v>10</v>
      </c>
      <c r="I8" t="s">
        <v>10</v>
      </c>
      <c r="K8" s="1">
        <f t="shared" si="0"/>
        <v>1.5011856998317015</v>
      </c>
      <c r="L8" s="1">
        <f t="shared" si="1"/>
        <v>1.4979539999999929</v>
      </c>
      <c r="M8" s="1"/>
      <c r="N8" s="1">
        <f t="shared" si="2"/>
        <v>-3.2316998317085677E-3</v>
      </c>
      <c r="O8" s="2">
        <f t="shared" si="3"/>
        <v>-0.32316998317085677</v>
      </c>
    </row>
    <row r="9" spans="1:15" x14ac:dyDescent="0.3">
      <c r="A9">
        <v>8</v>
      </c>
      <c r="B9" t="s">
        <v>9</v>
      </c>
      <c r="C9">
        <v>41.701544399838802</v>
      </c>
      <c r="D9">
        <v>75.4019914</v>
      </c>
      <c r="G9" t="s">
        <v>10</v>
      </c>
      <c r="H9" t="s">
        <v>10</v>
      </c>
      <c r="I9" t="s">
        <v>10</v>
      </c>
      <c r="K9" s="1">
        <f t="shared" si="0"/>
        <v>1.5013468000106016</v>
      </c>
      <c r="L9" s="1">
        <f t="shared" si="1"/>
        <v>1.5008009000000015</v>
      </c>
      <c r="M9" s="1"/>
      <c r="N9" s="1">
        <f t="shared" si="2"/>
        <v>-5.4590001060006443E-4</v>
      </c>
      <c r="O9" s="2">
        <f t="shared" si="3"/>
        <v>-5.4590001060006443E-2</v>
      </c>
    </row>
    <row r="10" spans="1:15" x14ac:dyDescent="0.3">
      <c r="A10">
        <v>9</v>
      </c>
      <c r="B10" t="s">
        <v>9</v>
      </c>
      <c r="C10">
        <v>43.204459699802101</v>
      </c>
      <c r="D10">
        <v>76.903537700000001</v>
      </c>
      <c r="G10" t="s">
        <v>10</v>
      </c>
      <c r="H10" t="s">
        <v>10</v>
      </c>
      <c r="I10" t="s">
        <v>10</v>
      </c>
      <c r="K10" s="1">
        <f t="shared" si="0"/>
        <v>1.5029152999632984</v>
      </c>
      <c r="L10" s="1">
        <f t="shared" si="1"/>
        <v>1.5015463000000011</v>
      </c>
      <c r="M10" s="1"/>
      <c r="N10" s="1">
        <f t="shared" si="2"/>
        <v>-1.3689999632973127E-3</v>
      </c>
      <c r="O10" s="2">
        <f t="shared" si="3"/>
        <v>-0.13689999632973127</v>
      </c>
    </row>
    <row r="11" spans="1:15" x14ac:dyDescent="0.3">
      <c r="A11">
        <v>10</v>
      </c>
      <c r="B11" t="s">
        <v>9</v>
      </c>
      <c r="C11">
        <v>44.7055364998523</v>
      </c>
      <c r="D11">
        <v>78.405397300000004</v>
      </c>
      <c r="G11" t="s">
        <v>10</v>
      </c>
      <c r="H11" t="s">
        <v>10</v>
      </c>
      <c r="I11" t="s">
        <v>10</v>
      </c>
      <c r="K11" s="1">
        <f t="shared" si="0"/>
        <v>1.5010768000501997</v>
      </c>
      <c r="L11" s="1">
        <f t="shared" si="1"/>
        <v>1.5018596000000031</v>
      </c>
      <c r="M11" s="1"/>
      <c r="N11" s="1">
        <f t="shared" si="2"/>
        <v>7.8279994980334777E-4</v>
      </c>
      <c r="O11" s="2">
        <f t="shared" si="3"/>
        <v>7.8279994980334777E-2</v>
      </c>
    </row>
    <row r="12" spans="1:15" x14ac:dyDescent="0.3">
      <c r="A12">
        <v>11</v>
      </c>
      <c r="B12" t="s">
        <v>12</v>
      </c>
      <c r="C12">
        <v>46.206272699870098</v>
      </c>
      <c r="D12">
        <v>79.906775800000005</v>
      </c>
      <c r="E12">
        <v>46.206272699870098</v>
      </c>
      <c r="F12">
        <v>79.906775800000005</v>
      </c>
      <c r="G12" s="3" t="s">
        <v>10</v>
      </c>
      <c r="H12" t="s">
        <v>10</v>
      </c>
      <c r="I12" t="s">
        <v>10</v>
      </c>
      <c r="K12" s="6">
        <f t="shared" ref="K12:K75" si="4">C12-C11</f>
        <v>1.5007362000177977</v>
      </c>
      <c r="L12" s="6">
        <f t="shared" ref="L12:L75" si="5">D12-D11</f>
        <v>1.5013785000000013</v>
      </c>
      <c r="M12" s="6"/>
      <c r="N12" s="6">
        <f t="shared" si="2"/>
        <v>6.4229998220355355E-4</v>
      </c>
      <c r="O12" s="7">
        <f t="shared" si="3"/>
        <v>6.4229998220355355E-2</v>
      </c>
    </row>
    <row r="13" spans="1:15" x14ac:dyDescent="0.3">
      <c r="A13">
        <v>12</v>
      </c>
      <c r="B13" t="s">
        <v>9</v>
      </c>
      <c r="C13">
        <v>47.708011399954501</v>
      </c>
      <c r="D13">
        <v>81.406624199999996</v>
      </c>
      <c r="G13" t="s">
        <v>10</v>
      </c>
      <c r="H13" t="s">
        <v>10</v>
      </c>
      <c r="I13" t="s">
        <v>10</v>
      </c>
      <c r="K13" s="1">
        <f t="shared" si="4"/>
        <v>1.5017387000844025</v>
      </c>
      <c r="L13" s="1">
        <f t="shared" si="5"/>
        <v>1.4998483999999905</v>
      </c>
      <c r="M13" s="1"/>
      <c r="N13" s="1">
        <f t="shared" ref="N13:N76" si="6">L13-K13</f>
        <v>-1.8903000844119333E-3</v>
      </c>
      <c r="O13" s="2">
        <f t="shared" si="3"/>
        <v>-0.18903000844119333</v>
      </c>
    </row>
    <row r="14" spans="1:15" x14ac:dyDescent="0.3">
      <c r="A14">
        <v>13</v>
      </c>
      <c r="B14" t="s">
        <v>9</v>
      </c>
      <c r="C14">
        <v>49.208964799996401</v>
      </c>
      <c r="D14">
        <v>82.907561400000006</v>
      </c>
      <c r="G14" t="s">
        <v>10</v>
      </c>
      <c r="H14" t="s">
        <v>10</v>
      </c>
      <c r="I14" t="s">
        <v>10</v>
      </c>
      <c r="K14" s="1">
        <f t="shared" si="4"/>
        <v>1.5009534000419009</v>
      </c>
      <c r="L14" s="1">
        <f t="shared" si="5"/>
        <v>1.5009372000000099</v>
      </c>
      <c r="M14" s="1"/>
      <c r="N14" s="1">
        <f t="shared" si="6"/>
        <v>-1.620004189106794E-5</v>
      </c>
      <c r="O14" s="2">
        <f t="shared" si="3"/>
        <v>-1.620004189106794E-3</v>
      </c>
    </row>
    <row r="15" spans="1:15" x14ac:dyDescent="0.3">
      <c r="A15">
        <v>14</v>
      </c>
      <c r="B15" t="s">
        <v>12</v>
      </c>
      <c r="C15">
        <v>50.693709299899602</v>
      </c>
      <c r="D15">
        <v>84.408873900000003</v>
      </c>
      <c r="E15">
        <v>50.693709299899602</v>
      </c>
      <c r="F15">
        <v>84.408873900000003</v>
      </c>
      <c r="G15" s="3" t="s">
        <v>10</v>
      </c>
      <c r="H15" t="s">
        <v>10</v>
      </c>
      <c r="I15" t="s">
        <v>10</v>
      </c>
      <c r="K15" s="8">
        <f t="shared" si="4"/>
        <v>1.4847444999032007</v>
      </c>
      <c r="L15" s="8">
        <f t="shared" si="5"/>
        <v>1.5013124999999974</v>
      </c>
      <c r="M15" s="8"/>
      <c r="N15" s="8">
        <f t="shared" si="6"/>
        <v>1.6568000096796709E-2</v>
      </c>
      <c r="O15" s="9">
        <f t="shared" si="3"/>
        <v>1.6568000096796709</v>
      </c>
    </row>
    <row r="16" spans="1:15" x14ac:dyDescent="0.3">
      <c r="A16">
        <v>15</v>
      </c>
      <c r="B16" t="s">
        <v>9</v>
      </c>
      <c r="C16">
        <v>52.195169199956503</v>
      </c>
      <c r="D16">
        <v>85.909808799999993</v>
      </c>
      <c r="G16" t="s">
        <v>10</v>
      </c>
      <c r="H16" t="s">
        <v>10</v>
      </c>
      <c r="I16" t="s">
        <v>10</v>
      </c>
      <c r="K16" s="1">
        <f t="shared" si="4"/>
        <v>1.5014599000569007</v>
      </c>
      <c r="L16" s="1">
        <f t="shared" si="5"/>
        <v>1.5009348999999901</v>
      </c>
      <c r="M16" s="1"/>
      <c r="N16" s="1">
        <f t="shared" si="6"/>
        <v>-5.2500005691058504E-4</v>
      </c>
      <c r="O16" s="2">
        <f t="shared" si="3"/>
        <v>-5.2500005691058504E-2</v>
      </c>
    </row>
    <row r="17" spans="1:15" x14ac:dyDescent="0.3">
      <c r="A17">
        <v>16</v>
      </c>
      <c r="B17" t="s">
        <v>9</v>
      </c>
      <c r="C17">
        <v>53.696894299937398</v>
      </c>
      <c r="D17">
        <v>87.410209499999993</v>
      </c>
      <c r="G17" t="s">
        <v>10</v>
      </c>
      <c r="H17" t="s">
        <v>10</v>
      </c>
      <c r="I17" t="s">
        <v>10</v>
      </c>
      <c r="K17" s="1">
        <f t="shared" si="4"/>
        <v>1.5017250999808951</v>
      </c>
      <c r="L17" s="1">
        <f t="shared" si="5"/>
        <v>1.5004007000000001</v>
      </c>
      <c r="M17" s="1"/>
      <c r="N17" s="1">
        <f t="shared" si="6"/>
        <v>-1.3243999808949525E-3</v>
      </c>
      <c r="O17" s="2">
        <f t="shared" si="3"/>
        <v>-0.13243999808949525</v>
      </c>
    </row>
    <row r="18" spans="1:15" x14ac:dyDescent="0.3">
      <c r="A18">
        <v>17</v>
      </c>
      <c r="B18" t="s">
        <v>9</v>
      </c>
      <c r="C18">
        <v>55.198342900024699</v>
      </c>
      <c r="D18">
        <v>88.910897800000001</v>
      </c>
      <c r="G18" t="s">
        <v>10</v>
      </c>
      <c r="H18" t="s">
        <v>10</v>
      </c>
      <c r="I18" t="s">
        <v>10</v>
      </c>
      <c r="K18" s="1">
        <f t="shared" si="4"/>
        <v>1.5014486000873006</v>
      </c>
      <c r="L18" s="1">
        <f t="shared" si="5"/>
        <v>1.5006883000000073</v>
      </c>
      <c r="M18" s="1"/>
      <c r="N18" s="1">
        <f t="shared" si="6"/>
        <v>-7.6030008729333076E-4</v>
      </c>
      <c r="O18" s="2">
        <f t="shared" si="3"/>
        <v>-7.6030008729333076E-2</v>
      </c>
    </row>
    <row r="19" spans="1:15" x14ac:dyDescent="0.3">
      <c r="A19">
        <v>18</v>
      </c>
      <c r="B19" t="s">
        <v>9</v>
      </c>
      <c r="C19">
        <v>56.701878099935101</v>
      </c>
      <c r="D19">
        <v>90.411154100000005</v>
      </c>
      <c r="G19" t="s">
        <v>10</v>
      </c>
      <c r="H19" t="s">
        <v>10</v>
      </c>
      <c r="I19" t="s">
        <v>10</v>
      </c>
      <c r="K19" s="1">
        <f t="shared" si="4"/>
        <v>1.5035351999104023</v>
      </c>
      <c r="L19" s="1">
        <f t="shared" si="5"/>
        <v>1.5002563000000038</v>
      </c>
      <c r="M19" s="1"/>
      <c r="N19" s="1">
        <f t="shared" si="6"/>
        <v>-3.2788999103985361E-3</v>
      </c>
      <c r="O19" s="2">
        <f t="shared" si="3"/>
        <v>-0.32788999103985361</v>
      </c>
    </row>
    <row r="20" spans="1:15" x14ac:dyDescent="0.3">
      <c r="A20">
        <v>19</v>
      </c>
      <c r="B20" t="s">
        <v>9</v>
      </c>
      <c r="C20">
        <v>58.218779499875303</v>
      </c>
      <c r="D20">
        <v>91.915256900000003</v>
      </c>
      <c r="G20" t="s">
        <v>10</v>
      </c>
      <c r="H20" t="s">
        <v>10</v>
      </c>
      <c r="I20" t="s">
        <v>10</v>
      </c>
      <c r="K20" s="1">
        <f t="shared" si="4"/>
        <v>1.5169013999402026</v>
      </c>
      <c r="L20" s="1">
        <f t="shared" si="5"/>
        <v>1.5041027999999983</v>
      </c>
      <c r="M20" s="1"/>
      <c r="N20" s="1">
        <f t="shared" si="6"/>
        <v>-1.2798599940204269E-2</v>
      </c>
      <c r="O20" s="2">
        <f t="shared" si="3"/>
        <v>-1.2798599940204269</v>
      </c>
    </row>
    <row r="21" spans="1:15" x14ac:dyDescent="0.3">
      <c r="A21">
        <v>20</v>
      </c>
      <c r="B21" t="s">
        <v>11</v>
      </c>
      <c r="C21">
        <v>59.720611499855202</v>
      </c>
      <c r="D21">
        <v>93.416370499999999</v>
      </c>
      <c r="E21">
        <v>59.720611499855202</v>
      </c>
      <c r="F21">
        <v>93.416370499999999</v>
      </c>
      <c r="G21" s="3" t="b">
        <v>0</v>
      </c>
      <c r="H21" t="s">
        <v>10</v>
      </c>
      <c r="I21" t="s">
        <v>10</v>
      </c>
      <c r="K21" s="4">
        <f t="shared" si="4"/>
        <v>1.501831999979899</v>
      </c>
      <c r="L21" s="4">
        <f t="shared" si="5"/>
        <v>1.5011135999999965</v>
      </c>
      <c r="M21" s="1"/>
      <c r="N21" s="4">
        <f t="shared" si="6"/>
        <v>-7.1839997990252868E-4</v>
      </c>
      <c r="O21" s="5">
        <f t="shared" si="3"/>
        <v>-7.1839997990252868E-2</v>
      </c>
    </row>
    <row r="22" spans="1:15" x14ac:dyDescent="0.3">
      <c r="A22">
        <v>21</v>
      </c>
      <c r="B22" t="s">
        <v>9</v>
      </c>
      <c r="C22">
        <v>61.222648499999103</v>
      </c>
      <c r="D22">
        <v>94.918618899999998</v>
      </c>
      <c r="G22" t="s">
        <v>10</v>
      </c>
      <c r="H22" t="s">
        <v>10</v>
      </c>
      <c r="I22" t="s">
        <v>10</v>
      </c>
      <c r="K22" s="1">
        <f t="shared" si="4"/>
        <v>1.5020370001439005</v>
      </c>
      <c r="L22" s="1">
        <f t="shared" si="5"/>
        <v>1.5022483999999992</v>
      </c>
      <c r="M22" s="1"/>
      <c r="N22" s="1">
        <f t="shared" si="6"/>
        <v>2.1139985609863743E-4</v>
      </c>
      <c r="O22" s="2">
        <f t="shared" si="3"/>
        <v>2.1139985609863743E-2</v>
      </c>
    </row>
    <row r="23" spans="1:15" x14ac:dyDescent="0.3">
      <c r="A23">
        <v>22</v>
      </c>
      <c r="B23" t="s">
        <v>9</v>
      </c>
      <c r="C23">
        <v>62.722621700027901</v>
      </c>
      <c r="D23">
        <v>96.418412599999996</v>
      </c>
      <c r="G23" t="s">
        <v>10</v>
      </c>
      <c r="H23" t="s">
        <v>10</v>
      </c>
      <c r="I23" t="s">
        <v>10</v>
      </c>
      <c r="K23" s="1">
        <f t="shared" si="4"/>
        <v>1.4999732000287977</v>
      </c>
      <c r="L23" s="1">
        <f t="shared" si="5"/>
        <v>1.4997936999999979</v>
      </c>
      <c r="M23" s="1"/>
      <c r="N23" s="1">
        <f t="shared" si="6"/>
        <v>-1.795000287998505E-4</v>
      </c>
      <c r="O23" s="2">
        <f t="shared" si="3"/>
        <v>-1.795000287998505E-2</v>
      </c>
    </row>
    <row r="24" spans="1:15" x14ac:dyDescent="0.3">
      <c r="A24">
        <v>23</v>
      </c>
      <c r="B24" t="s">
        <v>9</v>
      </c>
      <c r="C24">
        <v>64.224018699955195</v>
      </c>
      <c r="D24">
        <v>97.919802099999998</v>
      </c>
      <c r="G24" t="s">
        <v>10</v>
      </c>
      <c r="H24" t="s">
        <v>10</v>
      </c>
      <c r="I24" t="s">
        <v>10</v>
      </c>
      <c r="K24" s="1">
        <f t="shared" si="4"/>
        <v>1.5013969999272945</v>
      </c>
      <c r="L24" s="1">
        <f t="shared" si="5"/>
        <v>1.5013895000000019</v>
      </c>
      <c r="M24" s="1"/>
      <c r="N24" s="1">
        <f t="shared" si="6"/>
        <v>-7.4999272925424521E-6</v>
      </c>
      <c r="O24" s="2">
        <f t="shared" si="3"/>
        <v>-7.4999272925424521E-4</v>
      </c>
    </row>
    <row r="25" spans="1:15" x14ac:dyDescent="0.3">
      <c r="A25">
        <v>24</v>
      </c>
      <c r="B25" t="s">
        <v>12</v>
      </c>
      <c r="C25">
        <v>65.708803399931597</v>
      </c>
      <c r="D25">
        <v>99.418662999999995</v>
      </c>
      <c r="E25">
        <v>65.708803399931597</v>
      </c>
      <c r="F25">
        <v>99.418662999999995</v>
      </c>
      <c r="G25" t="s">
        <v>10</v>
      </c>
      <c r="H25" t="s">
        <v>10</v>
      </c>
      <c r="I25" t="s">
        <v>10</v>
      </c>
      <c r="K25" s="1">
        <f t="shared" si="4"/>
        <v>1.4847846999764016</v>
      </c>
      <c r="L25" s="1">
        <f t="shared" si="5"/>
        <v>1.4988608999999968</v>
      </c>
      <c r="M25" s="1"/>
      <c r="N25" s="1">
        <f t="shared" si="6"/>
        <v>1.407620002359522E-2</v>
      </c>
      <c r="O25" s="2">
        <f t="shared" si="3"/>
        <v>1.407620002359522</v>
      </c>
    </row>
    <row r="26" spans="1:15" x14ac:dyDescent="0.3">
      <c r="A26">
        <v>25</v>
      </c>
      <c r="B26" t="s">
        <v>9</v>
      </c>
      <c r="C26">
        <v>67.210197099950094</v>
      </c>
      <c r="D26">
        <v>100.91865060000001</v>
      </c>
      <c r="G26" t="s">
        <v>10</v>
      </c>
      <c r="H26" t="s">
        <v>10</v>
      </c>
      <c r="I26" t="s">
        <v>10</v>
      </c>
      <c r="K26" s="1">
        <f t="shared" si="4"/>
        <v>1.5013937000184967</v>
      </c>
      <c r="L26" s="1">
        <f t="shared" si="5"/>
        <v>1.4999876000000114</v>
      </c>
      <c r="M26" s="1"/>
      <c r="N26" s="1">
        <f t="shared" si="6"/>
        <v>-1.4061000184852901E-3</v>
      </c>
      <c r="O26" s="2">
        <f t="shared" si="3"/>
        <v>-0.14061000184852901</v>
      </c>
    </row>
    <row r="27" spans="1:15" x14ac:dyDescent="0.3">
      <c r="A27">
        <v>26</v>
      </c>
      <c r="B27" t="s">
        <v>9</v>
      </c>
      <c r="C27">
        <v>68.712161900009903</v>
      </c>
      <c r="D27">
        <v>102.41856850000001</v>
      </c>
      <c r="G27" t="s">
        <v>10</v>
      </c>
      <c r="H27" t="s">
        <v>10</v>
      </c>
      <c r="I27" t="s">
        <v>10</v>
      </c>
      <c r="K27" s="1">
        <f t="shared" si="4"/>
        <v>1.5019648000598096</v>
      </c>
      <c r="L27" s="1">
        <f t="shared" si="5"/>
        <v>1.4999178999999998</v>
      </c>
      <c r="M27" s="1"/>
      <c r="N27" s="1">
        <f t="shared" si="6"/>
        <v>-2.0469000598097864E-3</v>
      </c>
      <c r="O27" s="2">
        <f t="shared" si="3"/>
        <v>-0.20469000598097864</v>
      </c>
    </row>
    <row r="28" spans="1:15" x14ac:dyDescent="0.3">
      <c r="A28">
        <v>27</v>
      </c>
      <c r="B28" t="s">
        <v>12</v>
      </c>
      <c r="C28">
        <v>70.213380299974204</v>
      </c>
      <c r="D28">
        <v>103.92102060000001</v>
      </c>
      <c r="E28">
        <v>70.213380299974204</v>
      </c>
      <c r="F28">
        <v>103.92102060000001</v>
      </c>
      <c r="G28" t="s">
        <v>10</v>
      </c>
      <c r="H28" t="s">
        <v>10</v>
      </c>
      <c r="I28" t="s">
        <v>10</v>
      </c>
      <c r="K28" s="1">
        <f t="shared" si="4"/>
        <v>1.5012183999643014</v>
      </c>
      <c r="L28" s="1">
        <f t="shared" si="5"/>
        <v>1.5024520999999993</v>
      </c>
      <c r="M28" s="1"/>
      <c r="N28" s="1">
        <f t="shared" si="6"/>
        <v>1.2337000356978933E-3</v>
      </c>
      <c r="O28" s="2">
        <f t="shared" si="3"/>
        <v>0.12337000356978933</v>
      </c>
    </row>
    <row r="29" spans="1:15" x14ac:dyDescent="0.3">
      <c r="A29">
        <v>28</v>
      </c>
      <c r="B29" t="s">
        <v>9</v>
      </c>
      <c r="C29">
        <v>71.715557300019995</v>
      </c>
      <c r="D29">
        <v>105.4208242</v>
      </c>
      <c r="G29" t="s">
        <v>10</v>
      </c>
      <c r="H29" t="s">
        <v>10</v>
      </c>
      <c r="I29" t="s">
        <v>10</v>
      </c>
      <c r="K29" s="1">
        <f t="shared" si="4"/>
        <v>1.5021770000457906</v>
      </c>
      <c r="L29" s="1">
        <f t="shared" si="5"/>
        <v>1.4998035999999928</v>
      </c>
      <c r="M29" s="1"/>
      <c r="N29" s="1">
        <f t="shared" si="6"/>
        <v>-2.37340004579778E-3</v>
      </c>
      <c r="O29" s="2">
        <f t="shared" si="3"/>
        <v>-0.237340004579778</v>
      </c>
    </row>
    <row r="30" spans="1:15" x14ac:dyDescent="0.3">
      <c r="A30">
        <v>29</v>
      </c>
      <c r="B30" t="s">
        <v>12</v>
      </c>
      <c r="C30">
        <v>73.216738999821203</v>
      </c>
      <c r="D30">
        <v>106.92164529999999</v>
      </c>
      <c r="E30">
        <v>73.216738999821203</v>
      </c>
      <c r="F30">
        <v>106.92164529999999</v>
      </c>
      <c r="G30" t="s">
        <v>10</v>
      </c>
      <c r="H30" t="s">
        <v>10</v>
      </c>
      <c r="I30" t="s">
        <v>10</v>
      </c>
      <c r="K30" s="1">
        <f t="shared" si="4"/>
        <v>1.501181699801208</v>
      </c>
      <c r="L30" s="1">
        <f t="shared" si="5"/>
        <v>1.500821099999996</v>
      </c>
      <c r="M30" s="1"/>
      <c r="N30" s="1">
        <f t="shared" si="6"/>
        <v>-3.6059980121194712E-4</v>
      </c>
      <c r="O30" s="2">
        <f t="shared" si="3"/>
        <v>-3.6059980121194712E-2</v>
      </c>
    </row>
    <row r="31" spans="1:15" x14ac:dyDescent="0.3">
      <c r="A31">
        <v>30</v>
      </c>
      <c r="B31" t="s">
        <v>9</v>
      </c>
      <c r="C31">
        <v>74.717555299866902</v>
      </c>
      <c r="D31">
        <v>108.4264283</v>
      </c>
      <c r="G31" t="s">
        <v>10</v>
      </c>
      <c r="H31" t="s">
        <v>10</v>
      </c>
      <c r="I31" t="s">
        <v>10</v>
      </c>
      <c r="K31" s="1">
        <f t="shared" si="4"/>
        <v>1.5008163000456989</v>
      </c>
      <c r="L31" s="1">
        <f t="shared" si="5"/>
        <v>1.5047830000000033</v>
      </c>
      <c r="M31" s="1"/>
      <c r="N31" s="1">
        <f t="shared" si="6"/>
        <v>3.9666999543044312E-3</v>
      </c>
      <c r="O31" s="2">
        <f t="shared" si="3"/>
        <v>0.39666999543044312</v>
      </c>
    </row>
    <row r="32" spans="1:15" x14ac:dyDescent="0.3">
      <c r="A32">
        <v>31</v>
      </c>
      <c r="B32" t="s">
        <v>11</v>
      </c>
      <c r="C32">
        <v>76.219449699856298</v>
      </c>
      <c r="D32">
        <v>109.9226285</v>
      </c>
      <c r="E32">
        <v>76.219449699856298</v>
      </c>
      <c r="F32">
        <v>109.9226285</v>
      </c>
      <c r="G32" t="b">
        <v>0</v>
      </c>
      <c r="H32" t="s">
        <v>10</v>
      </c>
      <c r="I32" t="s">
        <v>10</v>
      </c>
      <c r="K32" s="1">
        <f t="shared" si="4"/>
        <v>1.5018943999893963</v>
      </c>
      <c r="L32" s="1">
        <f t="shared" si="5"/>
        <v>1.4962002000000041</v>
      </c>
      <c r="M32" s="1"/>
      <c r="N32" s="1">
        <f t="shared" si="6"/>
        <v>-5.6941999893922457E-3</v>
      </c>
      <c r="O32" s="2">
        <f t="shared" si="3"/>
        <v>-0.56941999893922457</v>
      </c>
    </row>
    <row r="33" spans="1:15" x14ac:dyDescent="0.3">
      <c r="A33">
        <v>32</v>
      </c>
      <c r="B33" t="s">
        <v>9</v>
      </c>
      <c r="C33">
        <v>77.7208308998961</v>
      </c>
      <c r="D33">
        <v>111.4246773</v>
      </c>
      <c r="G33" t="s">
        <v>10</v>
      </c>
      <c r="H33" t="s">
        <v>10</v>
      </c>
      <c r="I33" t="s">
        <v>10</v>
      </c>
      <c r="K33" s="1">
        <f t="shared" si="4"/>
        <v>1.5013812000398019</v>
      </c>
      <c r="L33" s="1">
        <f t="shared" si="5"/>
        <v>1.5020487999999972</v>
      </c>
      <c r="M33" s="1"/>
      <c r="N33" s="1">
        <f t="shared" si="6"/>
        <v>6.6759996019527534E-4</v>
      </c>
      <c r="O33" s="2">
        <f t="shared" si="3"/>
        <v>6.6759996019527534E-2</v>
      </c>
    </row>
    <row r="34" spans="1:15" x14ac:dyDescent="0.3">
      <c r="A34">
        <v>33</v>
      </c>
      <c r="B34" t="s">
        <v>11</v>
      </c>
      <c r="C34">
        <v>79.222304599825193</v>
      </c>
      <c r="D34">
        <v>112.9265201</v>
      </c>
      <c r="E34">
        <v>79.222304599825193</v>
      </c>
      <c r="F34">
        <v>112.9265201</v>
      </c>
      <c r="G34" t="b">
        <v>0</v>
      </c>
      <c r="H34" t="s">
        <v>10</v>
      </c>
      <c r="I34" t="s">
        <v>10</v>
      </c>
      <c r="K34" s="1">
        <f t="shared" si="4"/>
        <v>1.5014736999290932</v>
      </c>
      <c r="L34" s="1">
        <f t="shared" si="5"/>
        <v>1.5018428000000057</v>
      </c>
      <c r="M34" s="1"/>
      <c r="N34" s="1">
        <f t="shared" si="6"/>
        <v>3.6910007091250918E-4</v>
      </c>
      <c r="O34" s="2">
        <f t="shared" si="3"/>
        <v>3.6910007091250918E-2</v>
      </c>
    </row>
    <row r="35" spans="1:15" x14ac:dyDescent="0.3">
      <c r="A35">
        <v>34</v>
      </c>
      <c r="B35" t="s">
        <v>9</v>
      </c>
      <c r="C35">
        <v>80.724842599825905</v>
      </c>
      <c r="D35">
        <v>114.42540940000001</v>
      </c>
      <c r="G35" t="s">
        <v>10</v>
      </c>
      <c r="H35" t="s">
        <v>10</v>
      </c>
      <c r="I35" t="s">
        <v>10</v>
      </c>
      <c r="K35" s="1">
        <f t="shared" si="4"/>
        <v>1.5025380000007118</v>
      </c>
      <c r="L35" s="1">
        <f t="shared" si="5"/>
        <v>1.4988893000000019</v>
      </c>
      <c r="M35" s="1"/>
      <c r="N35" s="1">
        <f t="shared" si="6"/>
        <v>-3.6487000007099368E-3</v>
      </c>
      <c r="O35" s="2">
        <f t="shared" si="3"/>
        <v>-0.36487000007099368</v>
      </c>
    </row>
    <row r="36" spans="1:15" x14ac:dyDescent="0.3">
      <c r="A36">
        <v>35</v>
      </c>
      <c r="B36" t="s">
        <v>9</v>
      </c>
      <c r="C36">
        <v>82.225418499903697</v>
      </c>
      <c r="D36">
        <v>115.9293802</v>
      </c>
      <c r="G36" t="s">
        <v>10</v>
      </c>
      <c r="H36" t="s">
        <v>10</v>
      </c>
      <c r="I36" t="s">
        <v>10</v>
      </c>
      <c r="K36" s="1">
        <f t="shared" si="4"/>
        <v>1.5005759000777914</v>
      </c>
      <c r="L36" s="1">
        <f t="shared" si="5"/>
        <v>1.5039707999999905</v>
      </c>
      <c r="M36" s="1"/>
      <c r="N36" s="1">
        <f t="shared" si="6"/>
        <v>3.3948999221991016E-3</v>
      </c>
      <c r="O36" s="2">
        <f t="shared" si="3"/>
        <v>0.33948999221991016</v>
      </c>
    </row>
    <row r="37" spans="1:15" x14ac:dyDescent="0.3">
      <c r="A37">
        <v>36</v>
      </c>
      <c r="B37" t="s">
        <v>9</v>
      </c>
      <c r="C37">
        <v>83.727511100005302</v>
      </c>
      <c r="D37">
        <v>117.42741959999999</v>
      </c>
      <c r="G37" t="s">
        <v>10</v>
      </c>
      <c r="H37" t="s">
        <v>10</v>
      </c>
      <c r="I37" t="s">
        <v>10</v>
      </c>
      <c r="K37" s="1">
        <f t="shared" si="4"/>
        <v>1.5020926001016051</v>
      </c>
      <c r="L37" s="1">
        <f t="shared" si="5"/>
        <v>1.4980393999999961</v>
      </c>
      <c r="M37" s="1"/>
      <c r="N37" s="1">
        <f t="shared" si="6"/>
        <v>-4.0532001016089225E-3</v>
      </c>
      <c r="O37" s="2">
        <f t="shared" si="3"/>
        <v>-0.40532001016089225</v>
      </c>
    </row>
    <row r="38" spans="1:15" x14ac:dyDescent="0.3">
      <c r="A38">
        <v>37</v>
      </c>
      <c r="B38" t="s">
        <v>9</v>
      </c>
      <c r="C38">
        <v>85.228318099863799</v>
      </c>
      <c r="D38">
        <v>118.9283162</v>
      </c>
      <c r="G38" t="s">
        <v>10</v>
      </c>
      <c r="H38" t="s">
        <v>10</v>
      </c>
      <c r="I38" t="s">
        <v>10</v>
      </c>
      <c r="K38" s="1">
        <f t="shared" si="4"/>
        <v>1.5008069998584972</v>
      </c>
      <c r="L38" s="1">
        <f t="shared" si="5"/>
        <v>1.5008966000000044</v>
      </c>
      <c r="M38" s="1"/>
      <c r="N38" s="1">
        <f t="shared" si="6"/>
        <v>8.9600141507162334E-5</v>
      </c>
      <c r="O38" s="2">
        <f t="shared" si="3"/>
        <v>8.9600141507162334E-3</v>
      </c>
    </row>
    <row r="39" spans="1:15" x14ac:dyDescent="0.3">
      <c r="A39">
        <v>38</v>
      </c>
      <c r="B39" t="s">
        <v>11</v>
      </c>
      <c r="C39">
        <v>86.729658299824195</v>
      </c>
      <c r="D39">
        <v>120.4306981</v>
      </c>
      <c r="E39">
        <v>86.729658299824195</v>
      </c>
      <c r="F39">
        <v>120.4306981</v>
      </c>
      <c r="G39" t="b">
        <v>0</v>
      </c>
      <c r="H39" t="s">
        <v>10</v>
      </c>
      <c r="I39" t="s">
        <v>10</v>
      </c>
      <c r="K39" s="1">
        <f t="shared" si="4"/>
        <v>1.5013401999603957</v>
      </c>
      <c r="L39" s="1">
        <f t="shared" si="5"/>
        <v>1.5023819000000032</v>
      </c>
      <c r="M39" s="1"/>
      <c r="N39" s="1">
        <f t="shared" si="6"/>
        <v>1.0417000396074627E-3</v>
      </c>
      <c r="O39" s="2">
        <f t="shared" si="3"/>
        <v>0.10417000396074627</v>
      </c>
    </row>
    <row r="40" spans="1:15" x14ac:dyDescent="0.3">
      <c r="A40">
        <v>39</v>
      </c>
      <c r="B40" t="s">
        <v>9</v>
      </c>
      <c r="C40">
        <v>88.214344499865504</v>
      </c>
      <c r="D40">
        <v>121.92887159999999</v>
      </c>
      <c r="G40" t="s">
        <v>10</v>
      </c>
      <c r="H40" t="s">
        <v>10</v>
      </c>
      <c r="I40" t="s">
        <v>10</v>
      </c>
      <c r="K40" s="1">
        <f t="shared" si="4"/>
        <v>1.4846862000413097</v>
      </c>
      <c r="L40" s="1">
        <f t="shared" si="5"/>
        <v>1.4981734999999929</v>
      </c>
      <c r="M40" s="1"/>
      <c r="N40" s="1">
        <f t="shared" si="6"/>
        <v>1.3487299958683252E-2</v>
      </c>
      <c r="O40" s="2">
        <f t="shared" si="3"/>
        <v>1.3487299958683252</v>
      </c>
    </row>
    <row r="41" spans="1:15" x14ac:dyDescent="0.3">
      <c r="A41">
        <v>40</v>
      </c>
      <c r="B41" t="s">
        <v>12</v>
      </c>
      <c r="C41">
        <v>89.715659499866803</v>
      </c>
      <c r="D41">
        <v>123.4311431</v>
      </c>
      <c r="E41">
        <v>89.715659499866803</v>
      </c>
      <c r="F41">
        <v>123.4311431</v>
      </c>
      <c r="G41" t="s">
        <v>10</v>
      </c>
      <c r="H41" t="s">
        <v>10</v>
      </c>
      <c r="I41" t="s">
        <v>10</v>
      </c>
      <c r="K41" s="1">
        <f t="shared" si="4"/>
        <v>1.5013150000012985</v>
      </c>
      <c r="L41" s="1">
        <f t="shared" si="5"/>
        <v>1.5022715000000062</v>
      </c>
      <c r="M41" s="1"/>
      <c r="N41" s="1">
        <f t="shared" si="6"/>
        <v>9.5649999870772717E-4</v>
      </c>
      <c r="O41" s="2">
        <f t="shared" si="3"/>
        <v>9.5649999870772717E-2</v>
      </c>
    </row>
    <row r="42" spans="1:15" x14ac:dyDescent="0.3">
      <c r="A42">
        <v>41</v>
      </c>
      <c r="B42" t="s">
        <v>9</v>
      </c>
      <c r="C42">
        <v>91.217567299958304</v>
      </c>
      <c r="D42">
        <v>124.9302467</v>
      </c>
      <c r="G42" t="s">
        <v>10</v>
      </c>
      <c r="H42" t="s">
        <v>10</v>
      </c>
      <c r="I42" t="s">
        <v>10</v>
      </c>
      <c r="K42" s="1">
        <f t="shared" si="4"/>
        <v>1.5019078000915016</v>
      </c>
      <c r="L42" s="1">
        <f t="shared" si="5"/>
        <v>1.499103599999998</v>
      </c>
      <c r="M42" s="1"/>
      <c r="N42" s="1">
        <f t="shared" si="6"/>
        <v>-2.8042000915036169E-3</v>
      </c>
      <c r="O42" s="2">
        <f t="shared" si="3"/>
        <v>-0.28042000915036169</v>
      </c>
    </row>
    <row r="43" spans="1:15" x14ac:dyDescent="0.3">
      <c r="A43">
        <v>42</v>
      </c>
      <c r="B43" t="s">
        <v>9</v>
      </c>
      <c r="C43">
        <v>92.7189443998504</v>
      </c>
      <c r="D43">
        <v>126.43239440000001</v>
      </c>
      <c r="G43" t="s">
        <v>10</v>
      </c>
      <c r="H43" t="s">
        <v>10</v>
      </c>
      <c r="I43" t="s">
        <v>10</v>
      </c>
      <c r="K43" s="1">
        <f t="shared" si="4"/>
        <v>1.5013770998920961</v>
      </c>
      <c r="L43" s="1">
        <f t="shared" si="5"/>
        <v>1.502147700000009</v>
      </c>
      <c r="M43" s="1"/>
      <c r="N43" s="1">
        <f t="shared" si="6"/>
        <v>7.7060010791285549E-4</v>
      </c>
      <c r="O43" s="2">
        <f t="shared" si="3"/>
        <v>7.7060010791285549E-2</v>
      </c>
    </row>
    <row r="44" spans="1:15" x14ac:dyDescent="0.3">
      <c r="A44">
        <v>43</v>
      </c>
      <c r="B44" t="s">
        <v>9</v>
      </c>
      <c r="C44">
        <v>94.220764499856102</v>
      </c>
      <c r="D44">
        <v>127.9339165</v>
      </c>
      <c r="G44" t="s">
        <v>10</v>
      </c>
      <c r="H44" t="s">
        <v>10</v>
      </c>
      <c r="I44" t="s">
        <v>10</v>
      </c>
      <c r="K44" s="1">
        <f t="shared" si="4"/>
        <v>1.5018201000057019</v>
      </c>
      <c r="L44" s="1">
        <f t="shared" si="5"/>
        <v>1.5015220999999883</v>
      </c>
      <c r="M44" s="1"/>
      <c r="N44" s="1">
        <f t="shared" si="6"/>
        <v>-2.9800000571356122E-4</v>
      </c>
      <c r="O44" s="2">
        <f t="shared" si="3"/>
        <v>-2.9800000571356122E-2</v>
      </c>
    </row>
    <row r="45" spans="1:15" x14ac:dyDescent="0.3">
      <c r="A45">
        <v>44</v>
      </c>
      <c r="B45" t="s">
        <v>9</v>
      </c>
      <c r="C45">
        <v>95.721851799869896</v>
      </c>
      <c r="D45">
        <v>129.4338511</v>
      </c>
      <c r="G45" t="s">
        <v>10</v>
      </c>
      <c r="H45" t="s">
        <v>10</v>
      </c>
      <c r="I45" t="s">
        <v>10</v>
      </c>
      <c r="K45" s="1">
        <f t="shared" si="4"/>
        <v>1.5010873000137934</v>
      </c>
      <c r="L45" s="1">
        <f t="shared" si="5"/>
        <v>1.4999346000000031</v>
      </c>
      <c r="M45" s="1"/>
      <c r="N45" s="1">
        <f t="shared" si="6"/>
        <v>-1.1527000137903087E-3</v>
      </c>
      <c r="O45" s="2">
        <f t="shared" si="3"/>
        <v>-0.11527000137903087</v>
      </c>
    </row>
    <row r="46" spans="1:15" x14ac:dyDescent="0.3">
      <c r="A46">
        <v>45</v>
      </c>
      <c r="B46" t="s">
        <v>11</v>
      </c>
      <c r="C46">
        <v>97.223220699932398</v>
      </c>
      <c r="D46">
        <v>130.9338214</v>
      </c>
      <c r="E46">
        <v>97.223220699932398</v>
      </c>
      <c r="F46">
        <v>130.9338214</v>
      </c>
      <c r="G46" t="b">
        <v>0</v>
      </c>
      <c r="H46" t="s">
        <v>10</v>
      </c>
      <c r="I46" t="s">
        <v>10</v>
      </c>
      <c r="K46" s="1">
        <f t="shared" si="4"/>
        <v>1.5013689000625021</v>
      </c>
      <c r="L46" s="1">
        <f t="shared" si="5"/>
        <v>1.4999703000000011</v>
      </c>
      <c r="M46" s="1"/>
      <c r="N46" s="1">
        <f t="shared" si="6"/>
        <v>-1.398600062501032E-3</v>
      </c>
      <c r="O46" s="2">
        <f t="shared" si="3"/>
        <v>-0.1398600062501032</v>
      </c>
    </row>
    <row r="47" spans="1:15" x14ac:dyDescent="0.3">
      <c r="A47">
        <v>46</v>
      </c>
      <c r="B47" t="s">
        <v>9</v>
      </c>
      <c r="C47">
        <v>98.724781699944202</v>
      </c>
      <c r="D47">
        <v>132.43568070000001</v>
      </c>
      <c r="G47" t="s">
        <v>10</v>
      </c>
      <c r="H47" t="s">
        <v>10</v>
      </c>
      <c r="I47" t="s">
        <v>10</v>
      </c>
      <c r="K47" s="1">
        <f t="shared" si="4"/>
        <v>1.5015610000118045</v>
      </c>
      <c r="L47" s="1">
        <f t="shared" si="5"/>
        <v>1.5018593000000067</v>
      </c>
      <c r="M47" s="1"/>
      <c r="N47" s="1">
        <f t="shared" si="6"/>
        <v>2.9829998820218862E-4</v>
      </c>
      <c r="O47" s="2">
        <f t="shared" si="3"/>
        <v>2.9829998820218862E-2</v>
      </c>
    </row>
    <row r="48" spans="1:15" x14ac:dyDescent="0.3">
      <c r="A48">
        <v>47</v>
      </c>
      <c r="B48" t="s">
        <v>9</v>
      </c>
      <c r="C48">
        <v>100.22653679992</v>
      </c>
      <c r="D48">
        <v>133.93722349999999</v>
      </c>
      <c r="G48" t="s">
        <v>10</v>
      </c>
      <c r="H48" t="s">
        <v>10</v>
      </c>
      <c r="I48" t="s">
        <v>10</v>
      </c>
      <c r="K48" s="1">
        <f t="shared" si="4"/>
        <v>1.5017550999757958</v>
      </c>
      <c r="L48" s="1">
        <f t="shared" si="5"/>
        <v>1.5015427999999815</v>
      </c>
      <c r="M48" s="1"/>
      <c r="N48" s="1">
        <f t="shared" si="6"/>
        <v>-2.1229997581428961E-4</v>
      </c>
      <c r="O48" s="2">
        <f t="shared" si="3"/>
        <v>-2.1229997581428961E-2</v>
      </c>
    </row>
    <row r="49" spans="1:15" x14ac:dyDescent="0.3">
      <c r="A49">
        <v>48</v>
      </c>
      <c r="B49" t="s">
        <v>11</v>
      </c>
      <c r="C49">
        <v>101.728155599907</v>
      </c>
      <c r="D49">
        <v>135.43598650000001</v>
      </c>
      <c r="E49">
        <v>101.728155599907</v>
      </c>
      <c r="F49">
        <v>135.43598650000001</v>
      </c>
      <c r="G49" t="b">
        <v>0</v>
      </c>
      <c r="H49" t="s">
        <v>10</v>
      </c>
      <c r="I49" t="s">
        <v>10</v>
      </c>
      <c r="K49" s="1">
        <f t="shared" si="4"/>
        <v>1.5016187999869999</v>
      </c>
      <c r="L49" s="1">
        <f t="shared" si="5"/>
        <v>1.4987630000000252</v>
      </c>
      <c r="M49" s="1"/>
      <c r="N49" s="1">
        <f t="shared" si="6"/>
        <v>-2.8557999869747164E-3</v>
      </c>
      <c r="O49" s="2">
        <f t="shared" si="3"/>
        <v>-0.28557999869747164</v>
      </c>
    </row>
    <row r="50" spans="1:15" x14ac:dyDescent="0.3">
      <c r="A50">
        <v>49</v>
      </c>
      <c r="B50" t="s">
        <v>9</v>
      </c>
      <c r="C50">
        <v>103.229863299988</v>
      </c>
      <c r="D50">
        <v>136.93916329999999</v>
      </c>
      <c r="G50" t="s">
        <v>10</v>
      </c>
      <c r="H50" t="s">
        <v>10</v>
      </c>
      <c r="I50" t="s">
        <v>10</v>
      </c>
      <c r="K50" s="1">
        <f t="shared" si="4"/>
        <v>1.5017077000809991</v>
      </c>
      <c r="L50" s="1">
        <f t="shared" si="5"/>
        <v>1.5031767999999772</v>
      </c>
      <c r="M50" s="1"/>
      <c r="N50" s="1">
        <f t="shared" si="6"/>
        <v>1.4690999189781451E-3</v>
      </c>
      <c r="O50" s="2">
        <f t="shared" si="3"/>
        <v>0.14690999189781451</v>
      </c>
    </row>
    <row r="51" spans="1:15" x14ac:dyDescent="0.3">
      <c r="A51">
        <v>50</v>
      </c>
      <c r="B51" t="s">
        <v>9</v>
      </c>
      <c r="C51">
        <v>104.73147579981</v>
      </c>
      <c r="D51">
        <v>138.4380985</v>
      </c>
      <c r="G51" t="s">
        <v>10</v>
      </c>
      <c r="H51" t="s">
        <v>10</v>
      </c>
      <c r="I51" t="s">
        <v>10</v>
      </c>
      <c r="K51" s="1">
        <f t="shared" si="4"/>
        <v>1.5016124998220022</v>
      </c>
      <c r="L51" s="1">
        <f t="shared" si="5"/>
        <v>1.4989352000000054</v>
      </c>
      <c r="M51" s="1"/>
      <c r="N51" s="1">
        <f t="shared" si="6"/>
        <v>-2.6772998219968258E-3</v>
      </c>
      <c r="O51" s="2">
        <f t="shared" si="3"/>
        <v>-0.26772998219968258</v>
      </c>
    </row>
    <row r="52" spans="1:15" x14ac:dyDescent="0.3">
      <c r="A52">
        <v>51</v>
      </c>
      <c r="B52" t="s">
        <v>9</v>
      </c>
      <c r="C52">
        <v>106.232588199898</v>
      </c>
      <c r="D52">
        <v>139.93855909999999</v>
      </c>
      <c r="G52" t="s">
        <v>10</v>
      </c>
      <c r="H52" t="s">
        <v>10</v>
      </c>
      <c r="I52" t="s">
        <v>10</v>
      </c>
      <c r="K52" s="1">
        <f t="shared" si="4"/>
        <v>1.5011124000880045</v>
      </c>
      <c r="L52" s="1">
        <f t="shared" si="5"/>
        <v>1.5004605999999967</v>
      </c>
      <c r="M52" s="1"/>
      <c r="N52" s="1">
        <f t="shared" si="6"/>
        <v>-6.5180008800780342E-4</v>
      </c>
      <c r="O52" s="2">
        <f t="shared" si="3"/>
        <v>-6.5180008800780342E-2</v>
      </c>
    </row>
    <row r="53" spans="1:15" x14ac:dyDescent="0.3">
      <c r="A53">
        <v>52</v>
      </c>
      <c r="B53" t="s">
        <v>12</v>
      </c>
      <c r="C53">
        <v>107.733817899832</v>
      </c>
      <c r="D53">
        <v>141.44256060000001</v>
      </c>
      <c r="E53">
        <v>107.733817899832</v>
      </c>
      <c r="F53">
        <v>141.44256060000001</v>
      </c>
      <c r="G53" t="s">
        <v>10</v>
      </c>
      <c r="H53" t="s">
        <v>10</v>
      </c>
      <c r="I53" t="s">
        <v>10</v>
      </c>
      <c r="K53" s="1">
        <f t="shared" si="4"/>
        <v>1.5012296999340009</v>
      </c>
      <c r="L53" s="1">
        <f t="shared" si="5"/>
        <v>1.5040015000000153</v>
      </c>
      <c r="M53" s="1"/>
      <c r="N53" s="1">
        <f t="shared" si="6"/>
        <v>2.7718000660144071E-3</v>
      </c>
      <c r="O53" s="2">
        <f t="shared" si="3"/>
        <v>0.27718000660144071</v>
      </c>
    </row>
    <row r="54" spans="1:15" x14ac:dyDescent="0.3">
      <c r="A54">
        <v>53</v>
      </c>
      <c r="B54" t="s">
        <v>9</v>
      </c>
      <c r="C54">
        <v>109.235746499849</v>
      </c>
      <c r="D54">
        <v>142.9408828</v>
      </c>
      <c r="G54" t="s">
        <v>10</v>
      </c>
      <c r="H54" t="s">
        <v>10</v>
      </c>
      <c r="I54" t="s">
        <v>10</v>
      </c>
      <c r="K54" s="1">
        <f t="shared" si="4"/>
        <v>1.5019286000169956</v>
      </c>
      <c r="L54" s="1">
        <f t="shared" si="5"/>
        <v>1.4983221999999898</v>
      </c>
      <c r="M54" s="1"/>
      <c r="N54" s="1">
        <f t="shared" si="6"/>
        <v>-3.6064000170057398E-3</v>
      </c>
      <c r="O54" s="2">
        <f t="shared" si="3"/>
        <v>-0.36064000170057398</v>
      </c>
    </row>
    <row r="55" spans="1:15" x14ac:dyDescent="0.3">
      <c r="A55">
        <v>54</v>
      </c>
      <c r="B55" t="s">
        <v>12</v>
      </c>
      <c r="C55">
        <v>110.73677879991</v>
      </c>
      <c r="D55">
        <v>144.4429543</v>
      </c>
      <c r="E55">
        <v>110.73677879991</v>
      </c>
      <c r="F55">
        <v>144.4429543</v>
      </c>
      <c r="G55" t="s">
        <v>10</v>
      </c>
      <c r="H55" t="s">
        <v>10</v>
      </c>
      <c r="I55" t="s">
        <v>10</v>
      </c>
      <c r="K55" s="1">
        <f t="shared" si="4"/>
        <v>1.5010323000609986</v>
      </c>
      <c r="L55" s="1">
        <f t="shared" si="5"/>
        <v>1.5020714999999996</v>
      </c>
      <c r="M55" s="1"/>
      <c r="N55" s="1">
        <f t="shared" si="6"/>
        <v>1.0391999390009232E-3</v>
      </c>
      <c r="O55" s="2">
        <f t="shared" si="3"/>
        <v>0.10391999390009232</v>
      </c>
    </row>
    <row r="56" spans="1:15" x14ac:dyDescent="0.3">
      <c r="A56">
        <v>55</v>
      </c>
      <c r="B56" t="s">
        <v>9</v>
      </c>
      <c r="C56">
        <v>112.238278599921</v>
      </c>
      <c r="D56">
        <v>145.9430466</v>
      </c>
      <c r="G56" t="s">
        <v>10</v>
      </c>
      <c r="H56" t="s">
        <v>10</v>
      </c>
      <c r="I56" t="s">
        <v>10</v>
      </c>
      <c r="K56" s="1">
        <f t="shared" si="4"/>
        <v>1.501499800011004</v>
      </c>
      <c r="L56" s="1">
        <f t="shared" si="5"/>
        <v>1.5000923000000057</v>
      </c>
      <c r="M56" s="1"/>
      <c r="N56" s="1">
        <f t="shared" si="6"/>
        <v>-1.4075000109983193E-3</v>
      </c>
      <c r="O56" s="2">
        <f t="shared" si="3"/>
        <v>-0.14075000109983193</v>
      </c>
    </row>
    <row r="57" spans="1:15" x14ac:dyDescent="0.3">
      <c r="A57">
        <v>56</v>
      </c>
      <c r="B57" t="s">
        <v>11</v>
      </c>
      <c r="C57">
        <v>113.74027920002101</v>
      </c>
      <c r="D57">
        <v>147.44479329999999</v>
      </c>
      <c r="E57">
        <v>113.74027920002101</v>
      </c>
      <c r="F57">
        <v>147.44479329999999</v>
      </c>
      <c r="G57" t="b">
        <v>0</v>
      </c>
      <c r="H57" t="s">
        <v>10</v>
      </c>
      <c r="I57" t="s">
        <v>10</v>
      </c>
      <c r="K57" s="1">
        <f t="shared" si="4"/>
        <v>1.5020006001000041</v>
      </c>
      <c r="L57" s="1">
        <f t="shared" si="5"/>
        <v>1.501746699999984</v>
      </c>
      <c r="M57" s="1"/>
      <c r="N57" s="1">
        <f t="shared" si="6"/>
        <v>-2.5390010002013241E-4</v>
      </c>
      <c r="O57" s="2">
        <f t="shared" si="3"/>
        <v>-2.5390010002013241E-2</v>
      </c>
    </row>
    <row r="58" spans="1:15" x14ac:dyDescent="0.3">
      <c r="A58">
        <v>57</v>
      </c>
      <c r="B58" t="s">
        <v>9</v>
      </c>
      <c r="C58">
        <v>115.241373799974</v>
      </c>
      <c r="D58">
        <v>148.9433363</v>
      </c>
      <c r="G58" t="s">
        <v>10</v>
      </c>
      <c r="H58" t="s">
        <v>10</v>
      </c>
      <c r="I58" t="s">
        <v>10</v>
      </c>
      <c r="K58" s="1">
        <f t="shared" si="4"/>
        <v>1.5010945999529923</v>
      </c>
      <c r="L58" s="1">
        <f t="shared" si="5"/>
        <v>1.4985430000000122</v>
      </c>
      <c r="M58" s="1"/>
      <c r="N58" s="1">
        <f t="shared" si="6"/>
        <v>-2.5515999529801547E-3</v>
      </c>
      <c r="O58" s="2">
        <f t="shared" si="3"/>
        <v>-0.25515999529801547</v>
      </c>
    </row>
    <row r="59" spans="1:15" x14ac:dyDescent="0.3">
      <c r="A59">
        <v>58</v>
      </c>
      <c r="B59" t="s">
        <v>9</v>
      </c>
      <c r="C59">
        <v>116.742934699868</v>
      </c>
      <c r="D59">
        <v>150.44450280000001</v>
      </c>
      <c r="G59" t="s">
        <v>10</v>
      </c>
      <c r="H59" t="s">
        <v>10</v>
      </c>
      <c r="I59" t="s">
        <v>10</v>
      </c>
      <c r="K59" s="1">
        <f t="shared" si="4"/>
        <v>1.5015608998940024</v>
      </c>
      <c r="L59" s="1">
        <f t="shared" si="5"/>
        <v>1.5011665000000107</v>
      </c>
      <c r="M59" s="1"/>
      <c r="N59" s="1">
        <f t="shared" si="6"/>
        <v>-3.9439989399170372E-4</v>
      </c>
      <c r="O59" s="2">
        <f t="shared" si="3"/>
        <v>-3.9439989399170372E-2</v>
      </c>
    </row>
    <row r="60" spans="1:15" x14ac:dyDescent="0.3">
      <c r="A60">
        <v>59</v>
      </c>
      <c r="B60" t="s">
        <v>9</v>
      </c>
      <c r="C60">
        <v>118.244442999828</v>
      </c>
      <c r="D60">
        <v>151.9467583</v>
      </c>
      <c r="G60" t="s">
        <v>10</v>
      </c>
      <c r="H60" t="s">
        <v>10</v>
      </c>
      <c r="I60" t="s">
        <v>10</v>
      </c>
      <c r="K60" s="1">
        <f t="shared" si="4"/>
        <v>1.501508299959994</v>
      </c>
      <c r="L60" s="1">
        <f t="shared" si="5"/>
        <v>1.5022554999999898</v>
      </c>
      <c r="M60" s="1"/>
      <c r="N60" s="1">
        <f t="shared" si="6"/>
        <v>7.4720003999573237E-4</v>
      </c>
      <c r="O60" s="2">
        <f t="shared" si="3"/>
        <v>7.4720003999573237E-2</v>
      </c>
    </row>
    <row r="61" spans="1:15" x14ac:dyDescent="0.3">
      <c r="A61">
        <v>60</v>
      </c>
      <c r="B61" t="s">
        <v>9</v>
      </c>
      <c r="C61">
        <v>119.746474899817</v>
      </c>
      <c r="D61">
        <v>153.44518400000001</v>
      </c>
      <c r="G61" t="s">
        <v>10</v>
      </c>
      <c r="H61" t="s">
        <v>10</v>
      </c>
      <c r="I61" t="s">
        <v>10</v>
      </c>
      <c r="K61" s="1">
        <f t="shared" si="4"/>
        <v>1.5020318999890065</v>
      </c>
      <c r="L61" s="1">
        <f t="shared" si="5"/>
        <v>1.4984257000000127</v>
      </c>
      <c r="M61" s="1"/>
      <c r="N61" s="1">
        <f t="shared" si="6"/>
        <v>-3.6061999889938079E-3</v>
      </c>
      <c r="O61" s="2">
        <f t="shared" si="3"/>
        <v>-0.36061999889938079</v>
      </c>
    </row>
    <row r="62" spans="1:15" x14ac:dyDescent="0.3">
      <c r="A62">
        <v>61</v>
      </c>
      <c r="B62" t="s">
        <v>11</v>
      </c>
      <c r="C62">
        <v>121.247906599892</v>
      </c>
      <c r="D62">
        <v>154.9464936</v>
      </c>
      <c r="E62">
        <v>121.247906599892</v>
      </c>
      <c r="F62">
        <v>154.9464936</v>
      </c>
      <c r="G62" t="b">
        <v>0</v>
      </c>
      <c r="H62" t="s">
        <v>10</v>
      </c>
      <c r="I62" t="s">
        <v>10</v>
      </c>
      <c r="K62" s="1">
        <f t="shared" si="4"/>
        <v>1.5014317000750026</v>
      </c>
      <c r="L62" s="1">
        <f t="shared" si="5"/>
        <v>1.5013095999999848</v>
      </c>
      <c r="M62" s="1"/>
      <c r="N62" s="1">
        <f t="shared" si="6"/>
        <v>-1.2210007501778364E-4</v>
      </c>
      <c r="O62" s="2">
        <f t="shared" si="3"/>
        <v>-1.2210007501778364E-2</v>
      </c>
    </row>
    <row r="63" spans="1:15" x14ac:dyDescent="0.3">
      <c r="A63">
        <v>62</v>
      </c>
      <c r="B63" t="s">
        <v>9</v>
      </c>
      <c r="C63">
        <v>122.732208400033</v>
      </c>
      <c r="D63">
        <v>156.4459875</v>
      </c>
      <c r="G63" t="s">
        <v>10</v>
      </c>
      <c r="H63" t="s">
        <v>10</v>
      </c>
      <c r="I63" t="s">
        <v>10</v>
      </c>
      <c r="K63" s="1">
        <f t="shared" si="4"/>
        <v>1.4843018001409973</v>
      </c>
      <c r="L63" s="1">
        <f t="shared" si="5"/>
        <v>1.4994939000000045</v>
      </c>
      <c r="M63" s="1"/>
      <c r="N63" s="1">
        <f t="shared" si="6"/>
        <v>1.5192099859007158E-2</v>
      </c>
      <c r="O63" s="2">
        <f t="shared" si="3"/>
        <v>1.5192099859007158</v>
      </c>
    </row>
    <row r="64" spans="1:15" x14ac:dyDescent="0.3">
      <c r="A64">
        <v>63</v>
      </c>
      <c r="B64" t="s">
        <v>9</v>
      </c>
      <c r="C64">
        <v>124.23342019994701</v>
      </c>
      <c r="D64">
        <v>157.94715869999999</v>
      </c>
      <c r="G64" t="s">
        <v>10</v>
      </c>
      <c r="H64" t="s">
        <v>10</v>
      </c>
      <c r="I64" t="s">
        <v>10</v>
      </c>
      <c r="K64" s="1">
        <f t="shared" si="4"/>
        <v>1.5012117999140031</v>
      </c>
      <c r="L64" s="1">
        <f t="shared" si="5"/>
        <v>1.5011711999999875</v>
      </c>
      <c r="M64" s="1"/>
      <c r="N64" s="1">
        <f t="shared" si="6"/>
        <v>-4.0599914015615468E-5</v>
      </c>
      <c r="O64" s="2">
        <f t="shared" si="3"/>
        <v>-4.0599914015615468E-3</v>
      </c>
    </row>
    <row r="65" spans="1:15" x14ac:dyDescent="0.3">
      <c r="A65">
        <v>64</v>
      </c>
      <c r="B65" t="s">
        <v>9</v>
      </c>
      <c r="C65">
        <v>125.73515490000101</v>
      </c>
      <c r="D65">
        <v>159.44895339999999</v>
      </c>
      <c r="G65" t="s">
        <v>10</v>
      </c>
      <c r="H65" t="s">
        <v>10</v>
      </c>
      <c r="I65" t="s">
        <v>10</v>
      </c>
      <c r="K65" s="1">
        <f t="shared" si="4"/>
        <v>1.5017347000540013</v>
      </c>
      <c r="L65" s="1">
        <f t="shared" si="5"/>
        <v>1.5017947000000049</v>
      </c>
      <c r="M65" s="1"/>
      <c r="N65" s="1">
        <f t="shared" si="6"/>
        <v>5.9999946003586047E-5</v>
      </c>
      <c r="O65" s="2">
        <f t="shared" si="3"/>
        <v>5.9999946003586047E-3</v>
      </c>
    </row>
    <row r="66" spans="1:15" x14ac:dyDescent="0.3">
      <c r="A66">
        <v>65</v>
      </c>
      <c r="B66" t="s">
        <v>9</v>
      </c>
      <c r="C66">
        <v>127.23650679993401</v>
      </c>
      <c r="D66">
        <v>160.94991210000001</v>
      </c>
      <c r="G66" t="s">
        <v>10</v>
      </c>
      <c r="H66" t="s">
        <v>10</v>
      </c>
      <c r="I66" t="s">
        <v>10</v>
      </c>
      <c r="K66" s="1">
        <f t="shared" si="4"/>
        <v>1.5013518999329989</v>
      </c>
      <c r="L66" s="1">
        <f t="shared" si="5"/>
        <v>1.5009587000000124</v>
      </c>
      <c r="M66" s="1"/>
      <c r="N66" s="1">
        <f t="shared" si="6"/>
        <v>-3.931999329864766E-4</v>
      </c>
      <c r="O66" s="2">
        <f t="shared" si="3"/>
        <v>-3.931999329864766E-2</v>
      </c>
    </row>
    <row r="67" spans="1:15" x14ac:dyDescent="0.3">
      <c r="A67">
        <v>66</v>
      </c>
      <c r="B67" t="s">
        <v>9</v>
      </c>
      <c r="C67">
        <v>128.73819980002</v>
      </c>
      <c r="D67">
        <v>162.4495373</v>
      </c>
      <c r="G67" t="s">
        <v>10</v>
      </c>
      <c r="H67" t="s">
        <v>10</v>
      </c>
      <c r="I67" t="s">
        <v>10</v>
      </c>
      <c r="K67" s="1">
        <f t="shared" si="4"/>
        <v>1.5016930000859929</v>
      </c>
      <c r="L67" s="1">
        <f t="shared" si="5"/>
        <v>1.499625199999997</v>
      </c>
      <c r="M67" s="1"/>
      <c r="N67" s="1">
        <f t="shared" si="6"/>
        <v>-2.0678000859959411E-3</v>
      </c>
      <c r="O67" s="2">
        <f t="shared" si="3"/>
        <v>-0.20678000859959411</v>
      </c>
    </row>
    <row r="68" spans="1:15" x14ac:dyDescent="0.3">
      <c r="A68">
        <v>67</v>
      </c>
      <c r="B68" t="s">
        <v>11</v>
      </c>
      <c r="C68">
        <v>130.23985919984901</v>
      </c>
      <c r="D68">
        <v>163.9509731</v>
      </c>
      <c r="E68">
        <v>130.23985919984901</v>
      </c>
      <c r="F68">
        <v>163.9509731</v>
      </c>
      <c r="G68" t="s">
        <v>13</v>
      </c>
      <c r="H68">
        <v>0.46577380015514702</v>
      </c>
      <c r="I68">
        <v>0.46578020000001102</v>
      </c>
      <c r="K68" s="1">
        <f t="shared" si="4"/>
        <v>1.5016593998290091</v>
      </c>
      <c r="L68" s="1">
        <f t="shared" si="5"/>
        <v>1.5014357999999959</v>
      </c>
      <c r="M68" s="1"/>
      <c r="N68" s="1">
        <f t="shared" si="6"/>
        <v>-2.2359982901321018E-4</v>
      </c>
      <c r="O68" s="2">
        <f t="shared" ref="O68:O84" si="7">N68*100</f>
        <v>-2.2359982901321018E-2</v>
      </c>
    </row>
    <row r="69" spans="1:15" x14ac:dyDescent="0.3">
      <c r="A69">
        <v>68</v>
      </c>
      <c r="B69" t="s">
        <v>9</v>
      </c>
      <c r="C69">
        <v>131.74124559992899</v>
      </c>
      <c r="D69">
        <v>165.45144060000001</v>
      </c>
      <c r="G69" t="s">
        <v>10</v>
      </c>
      <c r="H69">
        <v>0.27047149999998499</v>
      </c>
      <c r="I69">
        <v>0.27740959999999798</v>
      </c>
      <c r="K69" s="1">
        <f t="shared" si="4"/>
        <v>1.5013864000799799</v>
      </c>
      <c r="L69" s="1">
        <f t="shared" si="5"/>
        <v>1.5004675000000134</v>
      </c>
      <c r="M69" s="1"/>
      <c r="N69" s="1">
        <f t="shared" si="6"/>
        <v>-9.1890007996653367E-4</v>
      </c>
      <c r="O69" s="2">
        <f t="shared" si="7"/>
        <v>-9.1890007996653367E-2</v>
      </c>
    </row>
    <row r="70" spans="1:15" x14ac:dyDescent="0.3">
      <c r="A70">
        <v>69</v>
      </c>
      <c r="B70" t="s">
        <v>9</v>
      </c>
      <c r="C70">
        <v>133.24271419993599</v>
      </c>
      <c r="D70">
        <v>166.95377690000001</v>
      </c>
      <c r="G70" t="s">
        <v>10</v>
      </c>
      <c r="H70" t="s">
        <v>10</v>
      </c>
      <c r="I70" t="s">
        <v>10</v>
      </c>
      <c r="K70" s="1">
        <f t="shared" si="4"/>
        <v>1.5014686000070014</v>
      </c>
      <c r="L70" s="1">
        <f t="shared" si="5"/>
        <v>1.5023362999999961</v>
      </c>
      <c r="M70" s="1"/>
      <c r="N70" s="1">
        <f t="shared" si="6"/>
        <v>8.6769999299463052E-4</v>
      </c>
      <c r="O70" s="2">
        <f t="shared" si="7"/>
        <v>8.6769999299463052E-2</v>
      </c>
    </row>
    <row r="71" spans="1:15" x14ac:dyDescent="0.3">
      <c r="A71">
        <v>70</v>
      </c>
      <c r="B71" t="s">
        <v>9</v>
      </c>
      <c r="C71">
        <v>134.74429089995101</v>
      </c>
      <c r="D71">
        <v>168.4546847</v>
      </c>
      <c r="G71" t="s">
        <v>10</v>
      </c>
      <c r="H71">
        <v>0.87681489996612005</v>
      </c>
      <c r="I71">
        <v>0.88432539999999404</v>
      </c>
      <c r="K71" s="1">
        <f t="shared" si="4"/>
        <v>1.501576700015022</v>
      </c>
      <c r="L71" s="1">
        <f t="shared" si="5"/>
        <v>1.5009077999999931</v>
      </c>
      <c r="M71" s="1"/>
      <c r="N71" s="1">
        <f t="shared" si="6"/>
        <v>-6.6890001502883933E-4</v>
      </c>
      <c r="O71" s="2">
        <f t="shared" si="7"/>
        <v>-6.6890001502883933E-2</v>
      </c>
    </row>
    <row r="72" spans="1:15" x14ac:dyDescent="0.3">
      <c r="A72">
        <v>71</v>
      </c>
      <c r="B72" t="s">
        <v>9</v>
      </c>
      <c r="C72">
        <v>136.24538859981101</v>
      </c>
      <c r="D72">
        <v>169.95263349999999</v>
      </c>
      <c r="G72" t="s">
        <v>10</v>
      </c>
      <c r="H72">
        <v>0.28238480002619298</v>
      </c>
      <c r="I72">
        <v>0.29171809999996801</v>
      </c>
      <c r="K72" s="1">
        <f t="shared" si="4"/>
        <v>1.5010976998599972</v>
      </c>
      <c r="L72" s="1">
        <f t="shared" si="5"/>
        <v>1.497948799999989</v>
      </c>
      <c r="M72" s="1"/>
      <c r="N72" s="1">
        <f t="shared" si="6"/>
        <v>-3.1488998600082141E-3</v>
      </c>
      <c r="O72" s="2">
        <f t="shared" si="7"/>
        <v>-0.31488998600082141</v>
      </c>
    </row>
    <row r="73" spans="1:15" x14ac:dyDescent="0.3">
      <c r="A73">
        <v>72</v>
      </c>
      <c r="B73" t="s">
        <v>9</v>
      </c>
      <c r="C73">
        <v>137.747167299967</v>
      </c>
      <c r="D73">
        <v>171.4539867</v>
      </c>
      <c r="G73" t="s">
        <v>10</v>
      </c>
      <c r="H73" t="s">
        <v>10</v>
      </c>
      <c r="I73" t="s">
        <v>10</v>
      </c>
      <c r="K73" s="1">
        <f t="shared" si="4"/>
        <v>1.5017787001559952</v>
      </c>
      <c r="L73" s="1">
        <f t="shared" si="5"/>
        <v>1.5013532000000112</v>
      </c>
      <c r="M73" s="1"/>
      <c r="N73" s="1">
        <f t="shared" si="6"/>
        <v>-4.2550015598408208E-4</v>
      </c>
      <c r="O73" s="2">
        <f t="shared" si="7"/>
        <v>-4.2550015598408208E-2</v>
      </c>
    </row>
    <row r="74" spans="1:15" x14ac:dyDescent="0.3">
      <c r="A74">
        <v>73</v>
      </c>
      <c r="B74" t="s">
        <v>11</v>
      </c>
      <c r="C74">
        <v>139.24878479982701</v>
      </c>
      <c r="D74">
        <v>172.95448010000001</v>
      </c>
      <c r="E74">
        <v>139.24878479982701</v>
      </c>
      <c r="F74">
        <v>172.95448010000001</v>
      </c>
      <c r="G74" t="b">
        <v>0</v>
      </c>
      <c r="H74" t="s">
        <v>10</v>
      </c>
      <c r="I74" t="s">
        <v>10</v>
      </c>
      <c r="K74" s="1">
        <f t="shared" si="4"/>
        <v>1.5016174998600036</v>
      </c>
      <c r="L74" s="1">
        <f t="shared" si="5"/>
        <v>1.5004934000000105</v>
      </c>
      <c r="M74" s="1"/>
      <c r="N74" s="1">
        <f t="shared" si="6"/>
        <v>-1.1240998599930663E-3</v>
      </c>
      <c r="O74" s="2">
        <f t="shared" si="7"/>
        <v>-0.11240998599930663</v>
      </c>
    </row>
    <row r="75" spans="1:15" x14ac:dyDescent="0.3">
      <c r="A75">
        <v>74</v>
      </c>
      <c r="B75" t="s">
        <v>9</v>
      </c>
      <c r="C75">
        <v>140.76698449999</v>
      </c>
      <c r="D75">
        <v>174.47164910000001</v>
      </c>
      <c r="G75" t="s">
        <v>10</v>
      </c>
      <c r="H75" t="s">
        <v>10</v>
      </c>
      <c r="I75" t="s">
        <v>10</v>
      </c>
      <c r="K75" s="1">
        <f t="shared" si="4"/>
        <v>1.5181997001629952</v>
      </c>
      <c r="L75" s="1">
        <f t="shared" si="5"/>
        <v>1.5171689999999955</v>
      </c>
      <c r="M75" s="1"/>
      <c r="N75" s="1">
        <f t="shared" si="6"/>
        <v>-1.0307001629996648E-3</v>
      </c>
      <c r="O75" s="2">
        <f t="shared" si="7"/>
        <v>-0.10307001629996648</v>
      </c>
    </row>
    <row r="76" spans="1:15" x14ac:dyDescent="0.3">
      <c r="A76">
        <v>75</v>
      </c>
      <c r="B76" t="s">
        <v>9</v>
      </c>
      <c r="C76">
        <v>142.251707699848</v>
      </c>
      <c r="D76">
        <v>175.9575624</v>
      </c>
      <c r="G76" t="s">
        <v>10</v>
      </c>
      <c r="H76" t="s">
        <v>10</v>
      </c>
      <c r="I76" t="s">
        <v>10</v>
      </c>
      <c r="K76" s="1">
        <f t="shared" ref="K76:K84" si="8">C76-C75</f>
        <v>1.4847231998579957</v>
      </c>
      <c r="L76" s="1">
        <f t="shared" ref="L76:L84" si="9">D76-D75</f>
        <v>1.4859132999999929</v>
      </c>
      <c r="M76" s="1"/>
      <c r="N76" s="1">
        <f t="shared" si="6"/>
        <v>1.1901001419971635E-3</v>
      </c>
      <c r="O76" s="2">
        <f t="shared" si="7"/>
        <v>0.11901001419971635</v>
      </c>
    </row>
    <row r="77" spans="1:15" x14ac:dyDescent="0.3">
      <c r="A77">
        <v>76</v>
      </c>
      <c r="B77" t="s">
        <v>9</v>
      </c>
      <c r="C77">
        <v>143.75358839984901</v>
      </c>
      <c r="D77">
        <v>177.45628400000001</v>
      </c>
      <c r="G77" t="s">
        <v>10</v>
      </c>
      <c r="H77" t="s">
        <v>10</v>
      </c>
      <c r="I77" t="s">
        <v>10</v>
      </c>
      <c r="K77" s="1">
        <f t="shared" si="8"/>
        <v>1.5018807000010099</v>
      </c>
      <c r="L77" s="1">
        <f t="shared" si="9"/>
        <v>1.4987216000000103</v>
      </c>
      <c r="M77" s="1"/>
      <c r="N77" s="1">
        <f t="shared" ref="N77:N84" si="10">L77-K77</f>
        <v>-3.1591000009996151E-3</v>
      </c>
      <c r="O77" s="2">
        <f t="shared" si="7"/>
        <v>-0.31591000009996151</v>
      </c>
    </row>
    <row r="78" spans="1:15" x14ac:dyDescent="0.3">
      <c r="A78">
        <v>77</v>
      </c>
      <c r="B78" t="s">
        <v>12</v>
      </c>
      <c r="C78">
        <v>145.255317999981</v>
      </c>
      <c r="D78">
        <v>178.95719560000001</v>
      </c>
      <c r="E78">
        <v>145.255317999981</v>
      </c>
      <c r="F78">
        <v>178.95719560000001</v>
      </c>
      <c r="G78" t="s">
        <v>10</v>
      </c>
      <c r="H78" t="s">
        <v>10</v>
      </c>
      <c r="I78" t="s">
        <v>10</v>
      </c>
      <c r="K78" s="1">
        <f t="shared" si="8"/>
        <v>1.5017296001319949</v>
      </c>
      <c r="L78" s="1">
        <f t="shared" si="9"/>
        <v>1.5009115999999949</v>
      </c>
      <c r="M78" s="1"/>
      <c r="N78" s="1">
        <f t="shared" si="10"/>
        <v>-8.1800013199995192E-4</v>
      </c>
      <c r="O78" s="2">
        <f t="shared" si="7"/>
        <v>-8.1800013199995192E-2</v>
      </c>
    </row>
    <row r="79" spans="1:15" x14ac:dyDescent="0.3">
      <c r="A79">
        <v>78</v>
      </c>
      <c r="B79" t="s">
        <v>9</v>
      </c>
      <c r="C79">
        <v>146.75659859995301</v>
      </c>
      <c r="D79">
        <v>180.4573011</v>
      </c>
      <c r="G79" t="s">
        <v>10</v>
      </c>
      <c r="H79" t="s">
        <v>10</v>
      </c>
      <c r="I79" t="s">
        <v>10</v>
      </c>
      <c r="K79" s="1">
        <f t="shared" si="8"/>
        <v>1.5012805999720058</v>
      </c>
      <c r="L79" s="1">
        <f t="shared" si="9"/>
        <v>1.5001054999999894</v>
      </c>
      <c r="M79" s="1"/>
      <c r="N79" s="1">
        <f t="shared" si="10"/>
        <v>-1.1750999720163691E-3</v>
      </c>
      <c r="O79" s="2">
        <f t="shared" si="7"/>
        <v>-0.11750999720163691</v>
      </c>
    </row>
    <row r="80" spans="1:15" x14ac:dyDescent="0.3">
      <c r="A80">
        <v>79</v>
      </c>
      <c r="B80" t="s">
        <v>11</v>
      </c>
      <c r="C80">
        <v>148.257753399899</v>
      </c>
      <c r="D80">
        <v>181.95864889999999</v>
      </c>
      <c r="E80">
        <v>148.257753399899</v>
      </c>
      <c r="F80">
        <v>181.95864889999999</v>
      </c>
      <c r="G80" t="b">
        <v>0</v>
      </c>
      <c r="H80" t="s">
        <v>10</v>
      </c>
      <c r="I80" t="s">
        <v>10</v>
      </c>
      <c r="K80" s="1">
        <f t="shared" si="8"/>
        <v>1.5011547999459935</v>
      </c>
      <c r="L80" s="1">
        <f t="shared" si="9"/>
        <v>1.5013477999999907</v>
      </c>
      <c r="M80" s="1"/>
      <c r="N80" s="1">
        <f t="shared" si="10"/>
        <v>1.9300005399713882E-4</v>
      </c>
      <c r="O80" s="2">
        <f t="shared" si="7"/>
        <v>1.9300005399713882E-2</v>
      </c>
    </row>
    <row r="81" spans="1:15" x14ac:dyDescent="0.3">
      <c r="A81">
        <v>80</v>
      </c>
      <c r="B81" t="s">
        <v>9</v>
      </c>
      <c r="C81">
        <v>149.75917460001</v>
      </c>
      <c r="D81">
        <v>183.47012219999999</v>
      </c>
      <c r="G81" t="s">
        <v>10</v>
      </c>
      <c r="H81" t="s">
        <v>10</v>
      </c>
      <c r="I81" t="s">
        <v>10</v>
      </c>
      <c r="K81" s="1">
        <f t="shared" si="8"/>
        <v>1.5014212001109968</v>
      </c>
      <c r="L81" s="1">
        <f t="shared" si="9"/>
        <v>1.5114733000000058</v>
      </c>
      <c r="M81" s="1"/>
      <c r="N81" s="1">
        <f t="shared" si="10"/>
        <v>1.0052099889009014E-2</v>
      </c>
      <c r="O81" s="2">
        <f t="shared" si="7"/>
        <v>1.0052099889009014</v>
      </c>
    </row>
    <row r="82" spans="1:15" x14ac:dyDescent="0.3">
      <c r="A82">
        <v>81</v>
      </c>
      <c r="B82" t="s">
        <v>9</v>
      </c>
      <c r="C82">
        <v>151.26057969988301</v>
      </c>
      <c r="D82">
        <v>184.96076310000001</v>
      </c>
      <c r="G82" t="s">
        <v>10</v>
      </c>
      <c r="H82" t="s">
        <v>10</v>
      </c>
      <c r="I82" t="s">
        <v>10</v>
      </c>
      <c r="K82" s="1">
        <f t="shared" si="8"/>
        <v>1.5014050998730113</v>
      </c>
      <c r="L82" s="1">
        <f t="shared" si="9"/>
        <v>1.4906409000000167</v>
      </c>
      <c r="M82" s="1"/>
      <c r="N82" s="1">
        <f t="shared" si="10"/>
        <v>-1.0764199872994595E-2</v>
      </c>
      <c r="O82" s="2">
        <f t="shared" si="7"/>
        <v>-1.0764199872994595</v>
      </c>
    </row>
    <row r="83" spans="1:15" x14ac:dyDescent="0.3">
      <c r="A83">
        <v>82</v>
      </c>
      <c r="B83" t="s">
        <v>9</v>
      </c>
      <c r="C83">
        <v>152.74523049988699</v>
      </c>
      <c r="D83">
        <v>186.46068109999999</v>
      </c>
      <c r="G83" t="s">
        <v>10</v>
      </c>
      <c r="H83" t="s">
        <v>10</v>
      </c>
      <c r="I83" t="s">
        <v>10</v>
      </c>
      <c r="K83" s="1">
        <f t="shared" si="8"/>
        <v>1.4846508000039762</v>
      </c>
      <c r="L83" s="1">
        <f t="shared" si="9"/>
        <v>1.4999179999999797</v>
      </c>
      <c r="M83" s="1"/>
      <c r="N83" s="1">
        <f t="shared" si="10"/>
        <v>1.5267199996003455E-2</v>
      </c>
      <c r="O83" s="2">
        <f t="shared" si="7"/>
        <v>1.5267199996003455</v>
      </c>
    </row>
    <row r="84" spans="1:15" x14ac:dyDescent="0.3">
      <c r="A84">
        <v>83</v>
      </c>
      <c r="B84" t="s">
        <v>12</v>
      </c>
      <c r="C84">
        <v>154.29694969998599</v>
      </c>
      <c r="D84">
        <v>188.01140000000001</v>
      </c>
      <c r="E84">
        <v>154.29694969998599</v>
      </c>
      <c r="F84">
        <v>188.01140000000001</v>
      </c>
      <c r="G84" t="s">
        <v>10</v>
      </c>
      <c r="H84" t="s">
        <v>10</v>
      </c>
      <c r="I84" t="s">
        <v>10</v>
      </c>
      <c r="K84" s="1">
        <f t="shared" si="8"/>
        <v>1.5517192000990008</v>
      </c>
      <c r="L84" s="1">
        <f t="shared" si="9"/>
        <v>1.550718900000021</v>
      </c>
      <c r="M84" s="1"/>
      <c r="N84" s="1">
        <f t="shared" si="10"/>
        <v>-1.0003000989797783E-3</v>
      </c>
      <c r="O84" s="2">
        <f t="shared" si="7"/>
        <v>-0.10003000989797783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JOHF_ATT_log_20260414_104157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TU-Pseudonym 17736532576930723385832534456</cp:lastModifiedBy>
  <dcterms:created xsi:type="dcterms:W3CDTF">2026-04-14T09:18:50Z</dcterms:created>
  <dcterms:modified xsi:type="dcterms:W3CDTF">2026-04-14T09:34:59Z</dcterms:modified>
</cp:coreProperties>
</file>