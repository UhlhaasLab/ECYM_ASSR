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h\git\ECYM_ASSR\ASSR-data\JOHC\"/>
    </mc:Choice>
  </mc:AlternateContent>
  <xr:revisionPtr revIDLastSave="0" documentId="13_ncr:9_{9B6EADB5-7867-4A8A-9402-30CBC0EC24F4}" xr6:coauthVersionLast="47" xr6:coauthVersionMax="47" xr10:uidLastSave="{00000000-0000-0000-0000-000000000000}"/>
  <bookViews>
    <workbookView xWindow="10428" yWindow="0" windowWidth="12720" windowHeight="12828" xr2:uid="{894D89D5-0681-4592-A49F-AC3601CCB3D5}"/>
  </bookViews>
  <sheets>
    <sheet name="JOHC_ATT_log_20260414_113050" sheetId="1" r:id="rId1"/>
  </sheets>
  <calcPr calcId="0"/>
</workbook>
</file>

<file path=xl/calcChain.xml><?xml version="1.0" encoding="utf-8"?>
<calcChain xmlns="http://schemas.openxmlformats.org/spreadsheetml/2006/main">
  <c r="L24" i="1" l="1"/>
  <c r="N24" i="1" s="1"/>
  <c r="O24" i="1" s="1"/>
  <c r="K24" i="1"/>
  <c r="L23" i="1"/>
  <c r="K23" i="1"/>
  <c r="L22" i="1"/>
  <c r="N22" i="1" s="1"/>
  <c r="O22" i="1" s="1"/>
  <c r="K22" i="1"/>
  <c r="L21" i="1"/>
  <c r="K21" i="1"/>
  <c r="L20" i="1"/>
  <c r="K20" i="1"/>
  <c r="L19" i="1"/>
  <c r="N19" i="1" s="1"/>
  <c r="O19" i="1" s="1"/>
  <c r="K19" i="1"/>
  <c r="L18" i="1"/>
  <c r="K18" i="1"/>
  <c r="L17" i="1"/>
  <c r="K17" i="1"/>
  <c r="L16" i="1"/>
  <c r="N16" i="1" s="1"/>
  <c r="O16" i="1" s="1"/>
  <c r="K16" i="1"/>
  <c r="L15" i="1"/>
  <c r="N15" i="1" s="1"/>
  <c r="O15" i="1" s="1"/>
  <c r="K15" i="1"/>
  <c r="L14" i="1"/>
  <c r="N14" i="1" s="1"/>
  <c r="O14" i="1" s="1"/>
  <c r="K14" i="1"/>
  <c r="L13" i="1"/>
  <c r="N13" i="1" s="1"/>
  <c r="O13" i="1" s="1"/>
  <c r="K13" i="1"/>
  <c r="L12" i="1"/>
  <c r="K12" i="1"/>
  <c r="L11" i="1"/>
  <c r="N11" i="1" s="1"/>
  <c r="O11" i="1" s="1"/>
  <c r="K11" i="1"/>
  <c r="L10" i="1"/>
  <c r="K10" i="1"/>
  <c r="L9" i="1"/>
  <c r="K9" i="1"/>
  <c r="L8" i="1"/>
  <c r="N8" i="1" s="1"/>
  <c r="O8" i="1" s="1"/>
  <c r="K8" i="1"/>
  <c r="L7" i="1"/>
  <c r="N7" i="1" s="1"/>
  <c r="O7" i="1" s="1"/>
  <c r="K7" i="1"/>
  <c r="L6" i="1"/>
  <c r="N6" i="1" s="1"/>
  <c r="O6" i="1" s="1"/>
  <c r="K6" i="1"/>
  <c r="L5" i="1"/>
  <c r="N5" i="1" s="1"/>
  <c r="O5" i="1" s="1"/>
  <c r="K5" i="1"/>
  <c r="L4" i="1"/>
  <c r="N4" i="1" s="1"/>
  <c r="O4" i="1" s="1"/>
  <c r="K4" i="1"/>
  <c r="L3" i="1"/>
  <c r="N3" i="1" s="1"/>
  <c r="O3" i="1" s="1"/>
  <c r="K3" i="1"/>
  <c r="N18" i="1" l="1"/>
  <c r="O18" i="1" s="1"/>
  <c r="N10" i="1"/>
  <c r="O10" i="1" s="1"/>
  <c r="N17" i="1"/>
  <c r="O17" i="1" s="1"/>
  <c r="N20" i="1"/>
  <c r="O20" i="1" s="1"/>
  <c r="N12" i="1"/>
  <c r="O12" i="1" s="1"/>
  <c r="N21" i="1"/>
  <c r="O21" i="1" s="1"/>
  <c r="N23" i="1"/>
  <c r="O23" i="1" s="1"/>
  <c r="N9" i="1"/>
  <c r="O9" i="1" s="1"/>
</calcChain>
</file>

<file path=xl/sharedStrings.xml><?xml version="1.0" encoding="utf-8"?>
<sst xmlns="http://schemas.openxmlformats.org/spreadsheetml/2006/main" count="78" uniqueCount="19">
  <si>
    <t>trial_index</t>
  </si>
  <si>
    <t>arrow</t>
  </si>
  <si>
    <t>sound_onset_psy</t>
  </si>
  <si>
    <t>sound_onset_dev</t>
  </si>
  <si>
    <t>arrow_onset_psy</t>
  </si>
  <si>
    <t>arrow_onset_dev</t>
  </si>
  <si>
    <t>response_key</t>
  </si>
  <si>
    <t>rt_psy</t>
  </si>
  <si>
    <t>rt_dev</t>
  </si>
  <si>
    <t>none</t>
  </si>
  <si>
    <t>NaN</t>
  </si>
  <si>
    <t>right</t>
  </si>
  <si>
    <t>red</t>
  </si>
  <si>
    <t>left</t>
  </si>
  <si>
    <t>psy</t>
  </si>
  <si>
    <t>dev</t>
  </si>
  <si>
    <t>DEV - PSY</t>
  </si>
  <si>
    <t>sec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</si>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</sst>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164" fontId="0" fillId="0" borderId="0" xfId="0" applyNumberFormat="1"/>
    <xf numFmtId="1" fontId="0" fillId="0" borderId="0" xfId="0" applyNumberFormat="1"/>
    <xf numFmtId="164" fontId="16" fillId="0" borderId="0" xfId="0" applyNumberFormat="1" applyFont="1"/>
    <xf numFmtId="1" fontId="16" fillId="0" borderId="0" xfId="0" applyNumberFormat="1" applyFont="1"/>
    <xf numFmtId="164" fontId="18" fillId="0" borderId="0" xfId="0" applyNumberFormat="1" applyFont="1"/>
    <xf numFmtId="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C4CD-5747-460A-B1C1-94E2659CA44B}">
  <dimension ref="A1:O24"/>
  <sheetViews>
    <sheetView tabSelected="1" topLeftCell="E1" workbookViewId="0">
      <selection activeCell="G21" sqref="G2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14</v>
      </c>
      <c r="L1" t="s">
        <v>15</v>
      </c>
      <c r="N1" s="1" t="s">
        <v>16</v>
      </c>
      <c r="O1" s="1"/>
    </row>
    <row r="2" spans="1:15" x14ac:dyDescent="0.3">
      <c r="A2">
        <v>1</v>
      </c>
      <c r="B2" t="s">
        <v>9</v>
      </c>
      <c r="C2">
        <v>12.958582899998801</v>
      </c>
      <c r="D2">
        <v>1085.6857150999999</v>
      </c>
      <c r="G2" t="s">
        <v>10</v>
      </c>
      <c r="H2">
        <v>0.58184790005907405</v>
      </c>
      <c r="I2">
        <v>0.59379949999993098</v>
      </c>
      <c r="N2" s="1" t="s">
        <v>17</v>
      </c>
      <c r="O2" s="1" t="s">
        <v>18</v>
      </c>
    </row>
    <row r="3" spans="1:15" x14ac:dyDescent="0.3">
      <c r="A3">
        <v>2</v>
      </c>
      <c r="B3" t="s">
        <v>9</v>
      </c>
      <c r="C3">
        <v>14.4605032999534</v>
      </c>
      <c r="D3">
        <v>1087.1856914</v>
      </c>
      <c r="G3" t="s">
        <v>10</v>
      </c>
      <c r="H3" t="s">
        <v>10</v>
      </c>
      <c r="I3" t="s">
        <v>10</v>
      </c>
      <c r="K3" s="2">
        <f t="shared" ref="K3:L18" si="0">C3-C2</f>
        <v>1.5019203999545994</v>
      </c>
      <c r="L3" s="2">
        <f t="shared" si="0"/>
        <v>1.4999763000000712</v>
      </c>
      <c r="M3" s="2"/>
      <c r="N3" s="2">
        <f>L3-K3</f>
        <v>-1.9440999545281556E-3</v>
      </c>
      <c r="O3" s="3">
        <f>N3*100</f>
        <v>-0.19440999545281556</v>
      </c>
    </row>
    <row r="4" spans="1:15" x14ac:dyDescent="0.3">
      <c r="A4">
        <v>3</v>
      </c>
      <c r="B4" t="s">
        <v>9</v>
      </c>
      <c r="C4">
        <v>15.9619021001271</v>
      </c>
      <c r="D4">
        <v>1088.6871891999999</v>
      </c>
      <c r="G4" t="s">
        <v>10</v>
      </c>
      <c r="H4" t="s">
        <v>10</v>
      </c>
      <c r="I4" t="s">
        <v>10</v>
      </c>
      <c r="K4" s="2">
        <f t="shared" si="0"/>
        <v>1.5013988001736998</v>
      </c>
      <c r="L4" s="2">
        <f t="shared" si="0"/>
        <v>1.5014977999999246</v>
      </c>
      <c r="M4" s="2"/>
      <c r="N4" s="2">
        <f t="shared" ref="N4:N24" si="1">L4-K4</f>
        <v>9.8999826224854814E-5</v>
      </c>
      <c r="O4" s="3">
        <f t="shared" ref="O4:O24" si="2">N4*100</f>
        <v>9.8999826224854814E-3</v>
      </c>
    </row>
    <row r="5" spans="1:15" x14ac:dyDescent="0.3">
      <c r="A5">
        <v>4</v>
      </c>
      <c r="B5" t="s">
        <v>9</v>
      </c>
      <c r="C5">
        <v>17.463329500053</v>
      </c>
      <c r="D5">
        <v>1090.1870220999999</v>
      </c>
      <c r="G5" t="s">
        <v>10</v>
      </c>
      <c r="H5" t="s">
        <v>10</v>
      </c>
      <c r="I5" t="s">
        <v>10</v>
      </c>
      <c r="K5" s="2">
        <f t="shared" si="0"/>
        <v>1.5014273999259</v>
      </c>
      <c r="L5" s="2">
        <f t="shared" si="0"/>
        <v>1.4998329000000012</v>
      </c>
      <c r="M5" s="2"/>
      <c r="N5" s="2">
        <f t="shared" si="1"/>
        <v>-1.5944999258987735E-3</v>
      </c>
      <c r="O5" s="3">
        <f t="shared" si="2"/>
        <v>-0.15944999258987735</v>
      </c>
    </row>
    <row r="6" spans="1:15" x14ac:dyDescent="0.3">
      <c r="A6">
        <v>5</v>
      </c>
      <c r="B6" t="s">
        <v>9</v>
      </c>
      <c r="C6">
        <v>18.964607800124199</v>
      </c>
      <c r="D6">
        <v>1091.6874246</v>
      </c>
      <c r="G6" t="s">
        <v>10</v>
      </c>
      <c r="H6" t="s">
        <v>10</v>
      </c>
      <c r="I6" t="s">
        <v>10</v>
      </c>
      <c r="K6" s="2">
        <f t="shared" si="0"/>
        <v>1.5012783000711991</v>
      </c>
      <c r="L6" s="2">
        <f t="shared" si="0"/>
        <v>1.5004025000000638</v>
      </c>
      <c r="M6" s="2"/>
      <c r="N6" s="2">
        <f t="shared" si="1"/>
        <v>-8.7580007113530201E-4</v>
      </c>
      <c r="O6" s="3">
        <f t="shared" si="2"/>
        <v>-8.7580007113530201E-2</v>
      </c>
    </row>
    <row r="7" spans="1:15" x14ac:dyDescent="0.3">
      <c r="A7">
        <v>6</v>
      </c>
      <c r="B7" t="s">
        <v>11</v>
      </c>
      <c r="C7">
        <v>20.466338000027399</v>
      </c>
      <c r="D7">
        <v>1093.1892218999999</v>
      </c>
      <c r="E7">
        <v>20.466338000027399</v>
      </c>
      <c r="F7">
        <v>1093.1892218999999</v>
      </c>
      <c r="G7" t="s">
        <v>12</v>
      </c>
      <c r="H7">
        <v>0.53311740001663499</v>
      </c>
      <c r="I7">
        <v>0.54919289999998</v>
      </c>
      <c r="K7" s="2">
        <f t="shared" si="0"/>
        <v>1.5017301999032</v>
      </c>
      <c r="L7" s="2">
        <f t="shared" si="0"/>
        <v>1.5017972999999074</v>
      </c>
      <c r="M7" s="2"/>
      <c r="N7" s="2">
        <f t="shared" si="1"/>
        <v>6.7100096707406465E-5</v>
      </c>
      <c r="O7" s="3">
        <f t="shared" si="2"/>
        <v>6.7100096707406465E-3</v>
      </c>
    </row>
    <row r="8" spans="1:15" x14ac:dyDescent="0.3">
      <c r="A8">
        <v>7</v>
      </c>
      <c r="B8" t="s">
        <v>9</v>
      </c>
      <c r="C8">
        <v>21.967637500027099</v>
      </c>
      <c r="D8">
        <v>1094.6900783000001</v>
      </c>
      <c r="G8" t="s">
        <v>10</v>
      </c>
      <c r="H8" t="s">
        <v>10</v>
      </c>
      <c r="I8" t="s">
        <v>10</v>
      </c>
      <c r="K8" s="2">
        <f t="shared" si="0"/>
        <v>1.5012994999996998</v>
      </c>
      <c r="L8" s="2">
        <f t="shared" si="0"/>
        <v>1.5008564000002025</v>
      </c>
      <c r="M8" s="2"/>
      <c r="N8" s="2">
        <f t="shared" si="1"/>
        <v>-4.430999994973206E-4</v>
      </c>
      <c r="O8" s="3">
        <f t="shared" si="2"/>
        <v>-4.430999994973206E-2</v>
      </c>
    </row>
    <row r="9" spans="1:15" x14ac:dyDescent="0.3">
      <c r="A9">
        <v>8</v>
      </c>
      <c r="B9" t="s">
        <v>9</v>
      </c>
      <c r="C9">
        <v>23.468639699975</v>
      </c>
      <c r="D9">
        <v>1096.1899642000001</v>
      </c>
      <c r="G9" t="s">
        <v>10</v>
      </c>
      <c r="H9">
        <v>0.90406630001962096</v>
      </c>
      <c r="I9">
        <v>0.92216220000000204</v>
      </c>
      <c r="K9" s="2">
        <f t="shared" si="0"/>
        <v>1.5010021999479015</v>
      </c>
      <c r="L9" s="2">
        <f t="shared" si="0"/>
        <v>1.4998858999999811</v>
      </c>
      <c r="M9" s="2"/>
      <c r="N9" s="2">
        <f t="shared" si="1"/>
        <v>-1.1162999479203961E-3</v>
      </c>
      <c r="O9" s="3">
        <f t="shared" si="2"/>
        <v>-0.11162999479203961</v>
      </c>
    </row>
    <row r="10" spans="1:15" x14ac:dyDescent="0.3">
      <c r="A10">
        <v>9</v>
      </c>
      <c r="B10" t="s">
        <v>9</v>
      </c>
      <c r="C10">
        <v>24.9529959000647</v>
      </c>
      <c r="D10">
        <v>1097.6896369999999</v>
      </c>
      <c r="G10" t="s">
        <v>10</v>
      </c>
      <c r="H10">
        <v>6.0694299871101899E-2</v>
      </c>
      <c r="I10">
        <v>6.2984199999846099E-2</v>
      </c>
      <c r="K10" s="2">
        <f t="shared" si="0"/>
        <v>1.4843562000896995</v>
      </c>
      <c r="L10" s="2">
        <f t="shared" si="0"/>
        <v>1.4996727999998711</v>
      </c>
      <c r="M10" s="2"/>
      <c r="N10" s="2">
        <f t="shared" si="1"/>
        <v>1.5316599910171647E-2</v>
      </c>
      <c r="O10" s="3">
        <f t="shared" si="2"/>
        <v>1.5316599910171647</v>
      </c>
    </row>
    <row r="11" spans="1:15" x14ac:dyDescent="0.3">
      <c r="A11">
        <v>10</v>
      </c>
      <c r="B11" t="s">
        <v>9</v>
      </c>
      <c r="C11">
        <v>26.455133900046299</v>
      </c>
      <c r="D11">
        <v>1099.1902215</v>
      </c>
      <c r="G11" t="s">
        <v>10</v>
      </c>
      <c r="H11">
        <v>0.55186769994907003</v>
      </c>
      <c r="I11">
        <v>0.55664460000002602</v>
      </c>
      <c r="K11" s="2">
        <f t="shared" si="0"/>
        <v>1.5021379999815991</v>
      </c>
      <c r="L11" s="2">
        <f t="shared" si="0"/>
        <v>1.5005845000000591</v>
      </c>
      <c r="M11" s="2"/>
      <c r="N11" s="2">
        <f t="shared" si="1"/>
        <v>-1.5534999815400852E-3</v>
      </c>
      <c r="O11" s="3">
        <f t="shared" si="2"/>
        <v>-0.15534999815400852</v>
      </c>
    </row>
    <row r="12" spans="1:15" x14ac:dyDescent="0.3">
      <c r="A12">
        <v>11</v>
      </c>
      <c r="B12" t="s">
        <v>13</v>
      </c>
      <c r="C12">
        <v>27.956322500016501</v>
      </c>
      <c r="D12">
        <v>1100.6905572999999</v>
      </c>
      <c r="E12">
        <v>27.956322500016501</v>
      </c>
      <c r="F12">
        <v>1100.6905572999999</v>
      </c>
      <c r="G12" s="1" t="b">
        <v>0</v>
      </c>
      <c r="H12">
        <v>0.4234694999177</v>
      </c>
      <c r="I12">
        <v>0.42831199999977798</v>
      </c>
      <c r="K12" s="6">
        <f t="shared" si="0"/>
        <v>1.5011885999702024</v>
      </c>
      <c r="L12" s="6">
        <f t="shared" si="0"/>
        <v>1.5003357999999025</v>
      </c>
      <c r="M12" s="6"/>
      <c r="N12" s="6">
        <f t="shared" si="1"/>
        <v>-8.5279997029985566E-4</v>
      </c>
      <c r="O12" s="7">
        <f t="shared" si="2"/>
        <v>-8.5279997029985566E-2</v>
      </c>
    </row>
    <row r="13" spans="1:15" x14ac:dyDescent="0.3">
      <c r="A13">
        <v>12</v>
      </c>
      <c r="B13" t="s">
        <v>9</v>
      </c>
      <c r="C13">
        <v>29.458002000115801</v>
      </c>
      <c r="D13">
        <v>1102.1906214000001</v>
      </c>
      <c r="G13" t="s">
        <v>10</v>
      </c>
      <c r="H13">
        <v>0.47506470000371298</v>
      </c>
      <c r="I13">
        <v>0.48160310000002898</v>
      </c>
      <c r="K13" s="2">
        <f t="shared" si="0"/>
        <v>1.5016795000993</v>
      </c>
      <c r="L13" s="2">
        <f t="shared" si="0"/>
        <v>1.5000641000001451</v>
      </c>
      <c r="M13" s="2"/>
      <c r="N13" s="2">
        <f t="shared" si="1"/>
        <v>-1.6154000991548401E-3</v>
      </c>
      <c r="O13" s="3">
        <f t="shared" si="2"/>
        <v>-0.16154000991548401</v>
      </c>
    </row>
    <row r="14" spans="1:15" x14ac:dyDescent="0.3">
      <c r="A14">
        <v>13</v>
      </c>
      <c r="B14" t="s">
        <v>9</v>
      </c>
      <c r="C14">
        <v>30.959712600102598</v>
      </c>
      <c r="D14">
        <v>1103.6918691999999</v>
      </c>
      <c r="G14" t="s">
        <v>10</v>
      </c>
      <c r="H14">
        <v>9.0219199890270801E-2</v>
      </c>
      <c r="I14">
        <v>9.7215699999878696E-2</v>
      </c>
      <c r="K14" s="2">
        <f t="shared" si="0"/>
        <v>1.5017105999867972</v>
      </c>
      <c r="L14" s="2">
        <f t="shared" si="0"/>
        <v>1.5012477999998737</v>
      </c>
      <c r="M14" s="2"/>
      <c r="N14" s="2">
        <f t="shared" si="1"/>
        <v>-4.6279998692355662E-4</v>
      </c>
      <c r="O14" s="3">
        <f t="shared" si="2"/>
        <v>-4.6279998692355662E-2</v>
      </c>
    </row>
    <row r="15" spans="1:15" x14ac:dyDescent="0.3">
      <c r="A15">
        <v>14</v>
      </c>
      <c r="B15" t="s">
        <v>13</v>
      </c>
      <c r="C15">
        <v>32.461717900121499</v>
      </c>
      <c r="D15">
        <v>1105.1932078</v>
      </c>
      <c r="E15">
        <v>32.461717900121499</v>
      </c>
      <c r="F15">
        <v>1105.1932078</v>
      </c>
      <c r="G15" s="1" t="b">
        <v>0</v>
      </c>
      <c r="H15">
        <v>0.36011029989458598</v>
      </c>
      <c r="I15">
        <v>0.36772599999994698</v>
      </c>
      <c r="K15" s="6">
        <f t="shared" si="0"/>
        <v>1.5020053000189009</v>
      </c>
      <c r="L15" s="6">
        <f t="shared" si="0"/>
        <v>1.5013386000000537</v>
      </c>
      <c r="M15" s="6"/>
      <c r="N15" s="6">
        <f t="shared" si="1"/>
        <v>-6.6670001884716612E-4</v>
      </c>
      <c r="O15" s="7">
        <f t="shared" si="2"/>
        <v>-6.6670001884716612E-2</v>
      </c>
    </row>
    <row r="16" spans="1:15" x14ac:dyDescent="0.3">
      <c r="A16">
        <v>15</v>
      </c>
      <c r="B16" t="s">
        <v>9</v>
      </c>
      <c r="C16">
        <v>33.9625891000032</v>
      </c>
      <c r="D16">
        <v>1106.6926395999999</v>
      </c>
      <c r="G16" t="s">
        <v>10</v>
      </c>
      <c r="H16">
        <v>0.22769790003076101</v>
      </c>
      <c r="I16">
        <v>0.23682179999991601</v>
      </c>
      <c r="K16" s="2">
        <f t="shared" si="0"/>
        <v>1.5008711998817006</v>
      </c>
      <c r="L16" s="2">
        <f t="shared" si="0"/>
        <v>1.4994317999999112</v>
      </c>
      <c r="M16" s="2"/>
      <c r="N16" s="2">
        <f t="shared" si="1"/>
        <v>-1.4393998817894271E-3</v>
      </c>
      <c r="O16" s="3">
        <f t="shared" si="2"/>
        <v>-0.14393998817894271</v>
      </c>
    </row>
    <row r="17" spans="1:15" x14ac:dyDescent="0.3">
      <c r="A17">
        <v>16</v>
      </c>
      <c r="B17" t="s">
        <v>9</v>
      </c>
      <c r="C17">
        <v>35.464513699989702</v>
      </c>
      <c r="D17">
        <v>1108.1924564999999</v>
      </c>
      <c r="G17" t="s">
        <v>10</v>
      </c>
      <c r="H17">
        <v>0.23771820007823399</v>
      </c>
      <c r="I17">
        <v>0.24887129999979099</v>
      </c>
      <c r="K17" s="2">
        <f t="shared" si="0"/>
        <v>1.5019245999865021</v>
      </c>
      <c r="L17" s="2">
        <f t="shared" si="0"/>
        <v>1.4998169000000416</v>
      </c>
      <c r="M17" s="2"/>
      <c r="N17" s="2">
        <f t="shared" si="1"/>
        <v>-2.1076999864604318E-3</v>
      </c>
      <c r="O17" s="3">
        <f t="shared" si="2"/>
        <v>-0.21076999864604318</v>
      </c>
    </row>
    <row r="18" spans="1:15" x14ac:dyDescent="0.3">
      <c r="A18">
        <v>17</v>
      </c>
      <c r="B18" t="s">
        <v>9</v>
      </c>
      <c r="C18">
        <v>36.965659300098103</v>
      </c>
      <c r="D18">
        <v>1109.6924423999999</v>
      </c>
      <c r="G18" t="s">
        <v>10</v>
      </c>
      <c r="H18" t="s">
        <v>10</v>
      </c>
      <c r="I18" t="s">
        <v>10</v>
      </c>
      <c r="K18" s="2">
        <f t="shared" si="0"/>
        <v>1.5011456001084014</v>
      </c>
      <c r="L18" s="2">
        <f t="shared" si="0"/>
        <v>1.499985899999956</v>
      </c>
      <c r="M18" s="2"/>
      <c r="N18" s="2">
        <f t="shared" si="1"/>
        <v>-1.1597001084453495E-3</v>
      </c>
      <c r="O18" s="3">
        <f t="shared" si="2"/>
        <v>-0.11597001084453495</v>
      </c>
    </row>
    <row r="19" spans="1:15" x14ac:dyDescent="0.3">
      <c r="A19">
        <v>18</v>
      </c>
      <c r="B19" t="s">
        <v>9</v>
      </c>
      <c r="C19">
        <v>38.467482000123702</v>
      </c>
      <c r="D19">
        <v>1111.1923715999999</v>
      </c>
      <c r="G19" t="s">
        <v>10</v>
      </c>
      <c r="H19" t="s">
        <v>10</v>
      </c>
      <c r="I19" t="s">
        <v>10</v>
      </c>
      <c r="K19" s="2">
        <f t="shared" ref="K19:L24" si="3">C19-C18</f>
        <v>1.501822700025599</v>
      </c>
      <c r="L19" s="2">
        <f t="shared" si="3"/>
        <v>1.4999291999999969</v>
      </c>
      <c r="M19" s="2"/>
      <c r="N19" s="2">
        <f t="shared" si="1"/>
        <v>-1.8935000256021794E-3</v>
      </c>
      <c r="O19" s="3">
        <f t="shared" si="2"/>
        <v>-0.18935000256021794</v>
      </c>
    </row>
    <row r="20" spans="1:15" x14ac:dyDescent="0.3">
      <c r="A20">
        <v>19</v>
      </c>
      <c r="B20" t="s">
        <v>9</v>
      </c>
      <c r="C20">
        <v>39.968898500083</v>
      </c>
      <c r="D20">
        <v>1112.6925641</v>
      </c>
      <c r="G20" t="s">
        <v>10</v>
      </c>
      <c r="H20">
        <v>0.62316629989072603</v>
      </c>
      <c r="I20">
        <v>0.63846330000001195</v>
      </c>
      <c r="K20" s="2">
        <f t="shared" si="3"/>
        <v>1.5014164999592978</v>
      </c>
      <c r="L20" s="2">
        <f t="shared" si="3"/>
        <v>1.5001925000001393</v>
      </c>
      <c r="M20" s="2"/>
      <c r="N20" s="2">
        <f t="shared" si="1"/>
        <v>-1.2239999591585615E-3</v>
      </c>
      <c r="O20" s="3">
        <f t="shared" si="2"/>
        <v>-0.12239999591585615</v>
      </c>
    </row>
    <row r="21" spans="1:15" x14ac:dyDescent="0.3">
      <c r="A21">
        <v>20</v>
      </c>
      <c r="B21" t="s">
        <v>11</v>
      </c>
      <c r="C21">
        <v>41.470411200076299</v>
      </c>
      <c r="D21">
        <v>1114.1932412000001</v>
      </c>
      <c r="E21">
        <v>41.470411200076299</v>
      </c>
      <c r="F21">
        <v>1114.1932412000001</v>
      </c>
      <c r="G21" s="1" t="s">
        <v>12</v>
      </c>
      <c r="H21">
        <v>0.44488659990020002</v>
      </c>
      <c r="I21">
        <v>0.46118649999993899</v>
      </c>
      <c r="K21" s="4">
        <f t="shared" si="3"/>
        <v>1.5015126999932988</v>
      </c>
      <c r="L21" s="4">
        <f t="shared" si="3"/>
        <v>1.5006771000000754</v>
      </c>
      <c r="M21" s="4"/>
      <c r="N21" s="4">
        <f t="shared" si="1"/>
        <v>-8.3559999322346812E-4</v>
      </c>
      <c r="O21" s="5">
        <f t="shared" si="2"/>
        <v>-8.3559999322346812E-2</v>
      </c>
    </row>
    <row r="22" spans="1:15" x14ac:dyDescent="0.3">
      <c r="A22">
        <v>21</v>
      </c>
      <c r="B22" t="s">
        <v>9</v>
      </c>
      <c r="C22">
        <v>42.972288300050401</v>
      </c>
      <c r="D22">
        <v>1115.6939368999999</v>
      </c>
      <c r="G22" t="s">
        <v>10</v>
      </c>
      <c r="H22" t="s">
        <v>10</v>
      </c>
      <c r="I22" t="s">
        <v>10</v>
      </c>
      <c r="K22" s="2">
        <f t="shared" si="3"/>
        <v>1.5018770999741022</v>
      </c>
      <c r="L22" s="2">
        <f t="shared" si="3"/>
        <v>1.5006956999998238</v>
      </c>
      <c r="M22" s="2"/>
      <c r="N22" s="2">
        <f t="shared" si="1"/>
        <v>-1.1813999742784631E-3</v>
      </c>
      <c r="O22" s="3">
        <f t="shared" si="2"/>
        <v>-0.11813999742784631</v>
      </c>
    </row>
    <row r="23" spans="1:15" x14ac:dyDescent="0.3">
      <c r="A23">
        <v>22</v>
      </c>
      <c r="B23" t="s">
        <v>9</v>
      </c>
      <c r="C23">
        <v>44.4735725999344</v>
      </c>
      <c r="D23">
        <v>1117.1941526000001</v>
      </c>
      <c r="G23" t="s">
        <v>10</v>
      </c>
      <c r="H23" t="s">
        <v>10</v>
      </c>
      <c r="I23" t="s">
        <v>10</v>
      </c>
      <c r="K23" s="2">
        <f t="shared" si="3"/>
        <v>1.5012842998839986</v>
      </c>
      <c r="L23" s="2">
        <f t="shared" si="3"/>
        <v>1.5002157000001262</v>
      </c>
      <c r="M23" s="2"/>
      <c r="N23" s="2">
        <f t="shared" si="1"/>
        <v>-1.0685998838724231E-3</v>
      </c>
      <c r="O23" s="3">
        <f t="shared" si="2"/>
        <v>-0.10685998838724231</v>
      </c>
    </row>
    <row r="24" spans="1:15" x14ac:dyDescent="0.3">
      <c r="A24">
        <v>23</v>
      </c>
      <c r="B24" t="s">
        <v>9</v>
      </c>
      <c r="C24">
        <v>45.990916100097799</v>
      </c>
      <c r="D24">
        <v>1118.7164863</v>
      </c>
      <c r="G24" t="s">
        <v>10</v>
      </c>
      <c r="H24" t="s">
        <v>10</v>
      </c>
      <c r="I24" t="s">
        <v>10</v>
      </c>
      <c r="K24" s="2">
        <f t="shared" si="3"/>
        <v>1.517343500163399</v>
      </c>
      <c r="L24" s="2">
        <f t="shared" si="3"/>
        <v>1.5223336999999901</v>
      </c>
      <c r="M24" s="2"/>
      <c r="N24" s="2">
        <f t="shared" si="1"/>
        <v>4.9901998365911027E-3</v>
      </c>
      <c r="O24" s="3">
        <f t="shared" si="2"/>
        <v>0.49901998365911027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JOHC_ATT_log_20260414_113050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TU-Pseudonym 17736532576930723385832534456</cp:lastModifiedBy>
  <dcterms:created xsi:type="dcterms:W3CDTF">2026-04-14T09:32:06Z</dcterms:created>
  <dcterms:modified xsi:type="dcterms:W3CDTF">2026-04-14T09:34:56Z</dcterms:modified>
</cp:coreProperties>
</file>